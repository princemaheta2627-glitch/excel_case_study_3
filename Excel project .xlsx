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classes\classes\data analysis\prince-da\excel\CASE-STUDIES\case-study-4-project\"/>
    </mc:Choice>
  </mc:AlternateContent>
  <xr:revisionPtr revIDLastSave="0" documentId="13_ncr:1_{CB1AA53C-C336-400A-834A-7BDADE74E184}" xr6:coauthVersionLast="47" xr6:coauthVersionMax="47" xr10:uidLastSave="{00000000-0000-0000-0000-000000000000}"/>
  <bookViews>
    <workbookView xWindow="-110" yWindow="-110" windowWidth="19420" windowHeight="11500" tabRatio="841" firstSheet="7" activeTab="11" xr2:uid="{7EBF450C-B34A-6F49-876D-C90F9856C5BD}"/>
  </bookViews>
  <sheets>
    <sheet name="Project_Objective" sheetId="2" r:id="rId1"/>
    <sheet name="Data_Source_Info" sheetId="1" r:id="rId2"/>
    <sheet name="Raw_Sales_Data" sheetId="3" r:id="rId3"/>
    <sheet name="Sales_Summary" sheetId="4" r:id="rId4"/>
    <sheet name="Sales_Statistics" sheetId="10" r:id="rId5"/>
    <sheet name="Item_Quantity_Analysis" sheetId="11" r:id="rId6"/>
    <sheet name="Salesperson_Performance" sheetId="12" r:id="rId7"/>
    <sheet name="Sales_vs_Items" sheetId="13" r:id="rId8"/>
    <sheet name="Employee_Ranking" sheetId="14" r:id="rId9"/>
    <sheet name="Monthly_Sales_Pivot" sheetId="15" r:id="rId10"/>
    <sheet name="Category_Sales_Pivot" sheetId="16" r:id="rId11"/>
    <sheet name="Total_Sales_Overview" sheetId="17" r:id="rId12"/>
  </sheets>
  <definedNames>
    <definedName name="Slicer_Day">#N/A</definedName>
    <definedName name="Slicer_Day1">#N/A</definedName>
    <definedName name="Slicer_Item">#N/A</definedName>
    <definedName name="Slicer_Item1">#N/A</definedName>
    <definedName name="Slicer_salesperson">#N/A</definedName>
    <definedName name="Slicer_salesperson1">#N/A</definedName>
    <definedName name="Slicer_salesperson2">#N/A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 i="14" l="1"/>
  <c r="D5" i="14"/>
  <c r="D4" i="14"/>
  <c r="A15" i="14"/>
  <c r="A14" i="14"/>
  <c r="A13" i="14"/>
</calcChain>
</file>

<file path=xl/sharedStrings.xml><?xml version="1.0" encoding="utf-8"?>
<sst xmlns="http://schemas.openxmlformats.org/spreadsheetml/2006/main" count="803" uniqueCount="55">
  <si>
    <t>Date</t>
  </si>
  <si>
    <t>Day</t>
  </si>
  <si>
    <t>Item</t>
  </si>
  <si>
    <t>No. of items</t>
  </si>
  <si>
    <t>Sales amount</t>
  </si>
  <si>
    <t>Objective:</t>
  </si>
  <si>
    <t>KPI #1</t>
  </si>
  <si>
    <t>KPI #2</t>
  </si>
  <si>
    <t>KPI #3</t>
  </si>
  <si>
    <t>Sales for a motnh has been tracked to determine the best performing employee, product and average transaction value.</t>
  </si>
  <si>
    <t>Key Performance indicators</t>
  </si>
  <si>
    <t>Transaction nuber</t>
  </si>
  <si>
    <t>salesperson</t>
  </si>
  <si>
    <t>Monday</t>
  </si>
  <si>
    <t>Tuesday</t>
  </si>
  <si>
    <t>Friday</t>
  </si>
  <si>
    <t>Saturday</t>
  </si>
  <si>
    <t>Wednesday</t>
  </si>
  <si>
    <t>Thursday</t>
  </si>
  <si>
    <t>Naitik</t>
  </si>
  <si>
    <t>Daksh</t>
  </si>
  <si>
    <t>Vishwas</t>
  </si>
  <si>
    <t>Shoes</t>
  </si>
  <si>
    <t>Slippers</t>
  </si>
  <si>
    <t>Sandals</t>
  </si>
  <si>
    <t>sales sheet for july 2022</t>
  </si>
  <si>
    <t xml:space="preserve">Total: </t>
  </si>
  <si>
    <t>66 transactions</t>
  </si>
  <si>
    <r>
      <rPr>
        <b/>
        <sz val="20"/>
        <color theme="1"/>
        <rFont val="Calibri (Body)"/>
      </rPr>
      <t>SweetFoot.Co</t>
    </r>
    <r>
      <rPr>
        <sz val="12"/>
        <color theme="1"/>
        <rFont val="Calibri"/>
        <family val="2"/>
        <scheme val="minor"/>
      </rPr>
      <t xml:space="preserve"> (A footwear company)</t>
    </r>
  </si>
  <si>
    <t>Description</t>
  </si>
  <si>
    <t>Transaction value average</t>
  </si>
  <si>
    <t xml:space="preserve">Product contribution </t>
  </si>
  <si>
    <t>Employeee sales</t>
  </si>
  <si>
    <t xml:space="preserve">Average value of transaction by cutomers will be measured </t>
  </si>
  <si>
    <t xml:space="preserve">Identify the high and low performing item and their contribution </t>
  </si>
  <si>
    <t>Find out most able salesperson and their contribution</t>
  </si>
  <si>
    <t>Formula</t>
  </si>
  <si>
    <t>Total revenue / No. of transactions</t>
  </si>
  <si>
    <t>Sales representative revenue  / Total revenue</t>
  </si>
  <si>
    <t>Product revenue / Total revenue</t>
  </si>
  <si>
    <t>Sum of Sales amount</t>
  </si>
  <si>
    <t>Count of salesperson</t>
  </si>
  <si>
    <t>Row Labels</t>
  </si>
  <si>
    <t>Grand Total</t>
  </si>
  <si>
    <t>Average of Sales amount2</t>
  </si>
  <si>
    <t>Max of Sales amount2</t>
  </si>
  <si>
    <t>Min of Sales amount2</t>
  </si>
  <si>
    <t>Sum of No. of items</t>
  </si>
  <si>
    <t>Count of Item</t>
  </si>
  <si>
    <t>RANK</t>
  </si>
  <si>
    <t>EMPLOYEES</t>
  </si>
  <si>
    <t>TOTAL SALES</t>
  </si>
  <si>
    <t>PERCENTAGE</t>
  </si>
  <si>
    <t>Sum of Sales amount2</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</si>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</sst>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4">
    <font>
      <sz val="12"/>
      <color theme="1"/>
      <name val="Calibri"/>
      <family val="2"/>
      <scheme val="minor"/>
    </font>
    <font>
      <sz val="12"/>
      <color theme="1"/>
      <name val="Calibri"/>
      <family val="2"/>
      <scheme val="minor"/>
    </font>
    <font>
      <b/>
      <sz val="12"/>
      <color theme="1"/>
      <name val="Calibri"/>
      <family val="2"/>
      <scheme val="minor"/>
    </font>
    <font>
      <b/>
      <sz val="20"/>
      <color theme="1"/>
      <name val="Calibri (Body)"/>
    </font>
  </fonts>
  <fills count="3">
    <fill>
      <patternFill patternType="none"/>
    </fill>
    <fill>
      <patternFill patternType="gray125"/>
    </fill>
    <fill>
      <patternFill patternType="solid">
        <fgColor theme="0" tint="-0.14999847407452621"/>
        <bgColor theme="0" tint="-0.14999847407452621"/>
      </patternFill>
    </fill>
  </fills>
  <borders count="4">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2">
    <xf numFmtId="0" fontId="0" fillId="0" borderId="0"/>
    <xf numFmtId="164" fontId="1" fillId="0" borderId="0" applyFont="0" applyFill="0" applyBorder="0" applyAlignment="0" applyProtection="0"/>
  </cellStyleXfs>
  <cellXfs count="25">
    <xf numFmtId="0" fontId="0" fillId="0" borderId="0" xfId="0"/>
    <xf numFmtId="16" fontId="2" fillId="0" borderId="0" xfId="0" applyNumberFormat="1" applyFont="1"/>
    <xf numFmtId="0" fontId="2" fillId="0" borderId="0" xfId="0" applyFont="1"/>
    <xf numFmtId="16" fontId="0" fillId="0" borderId="0" xfId="0" applyNumberFormat="1"/>
    <xf numFmtId="164" fontId="0" fillId="0" borderId="0" xfId="1" applyFont="1" applyFill="1"/>
    <xf numFmtId="0" fontId="0" fillId="0" borderId="2" xfId="0" applyBorder="1"/>
    <xf numFmtId="0" fontId="0" fillId="2" borderId="2" xfId="0" applyFill="1" applyBorder="1"/>
    <xf numFmtId="16" fontId="2" fillId="2" borderId="1" xfId="0" applyNumberFormat="1" applyFont="1" applyFill="1" applyBorder="1"/>
    <xf numFmtId="0" fontId="2" fillId="2" borderId="2" xfId="0" applyFont="1" applyFill="1" applyBorder="1"/>
    <xf numFmtId="0" fontId="2" fillId="2" borderId="3" xfId="0" applyFont="1" applyFill="1" applyBorder="1"/>
    <xf numFmtId="16" fontId="0" fillId="0" borderId="1" xfId="0" applyNumberFormat="1" applyBorder="1"/>
    <xf numFmtId="164" fontId="0" fillId="0" borderId="3" xfId="1" applyFont="1" applyBorder="1"/>
    <xf numFmtId="16" fontId="0" fillId="2" borderId="1" xfId="0" applyNumberFormat="1" applyFill="1" applyBorder="1"/>
    <xf numFmtId="164" fontId="0" fillId="2" borderId="3" xfId="1" applyFont="1" applyFill="1" applyBorder="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16" fontId="0" fillId="0" borderId="0" xfId="0" applyNumberFormat="1" applyAlignment="1">
      <alignment horizontal="left"/>
    </xf>
    <xf numFmtId="10" fontId="0" fillId="0" borderId="0" xfId="0" applyNumberFormat="1"/>
    <xf numFmtId="0" fontId="2" fillId="0" borderId="0" xfId="0" applyFont="1" applyAlignment="1">
      <alignment horizontal="center"/>
    </xf>
    <xf numFmtId="0" fontId="0" fillId="0" borderId="0" xfId="0" applyAlignment="1">
      <alignment horizontal="center"/>
    </xf>
    <xf numFmtId="16" fontId="0" fillId="0" borderId="0" xfId="0" applyNumberFormat="1" applyAlignment="1">
      <alignment horizontal="left" indent="2"/>
    </xf>
  </cellXfs>
  <cellStyles count="2">
    <cellStyle name="Currency" xfId="1" builtinId="4"/>
    <cellStyle name="Normal" xfId="0" builtinId="0"/>
  </cellStyles>
  <dxfs count="10">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numFmt numFmtId="21" formatCode="dd/mmm"/>
      <fill>
        <patternFill patternType="none">
          <fgColor indexed="64"/>
          <bgColor auto="1"/>
        </patternFill>
      </fill>
    </dxf>
    <dxf>
      <numFmt numFmtId="21" formatCode="dd/mmm"/>
    </dxf>
    <dxf>
      <font>
        <b val="0"/>
      </font>
      <fill>
        <patternFill patternType="none">
          <fgColor indexed="64"/>
          <bgColor auto="1"/>
        </patternFill>
      </fill>
    </dxf>
    <dxf>
      <font>
        <b val="0"/>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.xlsx]Category_Sales_Pivot!PivotTable1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Category_Sales_Pivot!$B$3:$B$4</c:f>
              <c:strCache>
                <c:ptCount val="1"/>
                <c:pt idx="0">
                  <c:v>Monday</c:v>
                </c:pt>
              </c:strCache>
            </c:strRef>
          </c:tx>
          <c:spPr>
            <a:solidFill>
              <a:schemeClr val="accent1"/>
            </a:solidFill>
            <a:ln>
              <a:noFill/>
            </a:ln>
            <a:effectLst/>
          </c:spPr>
          <c:invertIfNegative val="0"/>
          <c:cat>
            <c:strRef>
              <c:f>Category_Sales_Pivot!$A$5:$A$8</c:f>
              <c:strCache>
                <c:ptCount val="3"/>
                <c:pt idx="0">
                  <c:v>Daksh</c:v>
                </c:pt>
                <c:pt idx="1">
                  <c:v>Naitik</c:v>
                </c:pt>
                <c:pt idx="2">
                  <c:v>Vishwas</c:v>
                </c:pt>
              </c:strCache>
            </c:strRef>
          </c:cat>
          <c:val>
            <c:numRef>
              <c:f>Category_Sales_Pivot!$B$5:$B$8</c:f>
              <c:numCache>
                <c:formatCode>_("$"* #,##0.00_);_("$"* \(#,##0.00\);_("$"* "-"??_);_(@_)</c:formatCode>
                <c:ptCount val="3"/>
                <c:pt idx="0">
                  <c:v>610</c:v>
                </c:pt>
                <c:pt idx="1">
                  <c:v>865</c:v>
                </c:pt>
                <c:pt idx="2">
                  <c:v>430</c:v>
                </c:pt>
              </c:numCache>
            </c:numRef>
          </c:val>
          <c:extLst>
            <c:ext xmlns:c16="http://schemas.microsoft.com/office/drawing/2014/chart" uri="{C3380CC4-5D6E-409C-BE32-E72D297353CC}">
              <c16:uniqueId val="{00000000-F95C-4FD7-A822-01ECF723D7AA}"/>
            </c:ext>
          </c:extLst>
        </c:ser>
        <c:ser>
          <c:idx val="1"/>
          <c:order val="1"/>
          <c:tx>
            <c:strRef>
              <c:f>Category_Sales_Pivot!$C$3:$C$4</c:f>
              <c:strCache>
                <c:ptCount val="1"/>
                <c:pt idx="0">
                  <c:v>Tuesday</c:v>
                </c:pt>
              </c:strCache>
            </c:strRef>
          </c:tx>
          <c:spPr>
            <a:solidFill>
              <a:schemeClr val="accent2"/>
            </a:solidFill>
            <a:ln>
              <a:noFill/>
            </a:ln>
            <a:effectLst/>
          </c:spPr>
          <c:invertIfNegative val="0"/>
          <c:cat>
            <c:strRef>
              <c:f>Category_Sales_Pivot!$A$5:$A$8</c:f>
              <c:strCache>
                <c:ptCount val="3"/>
                <c:pt idx="0">
                  <c:v>Daksh</c:v>
                </c:pt>
                <c:pt idx="1">
                  <c:v>Naitik</c:v>
                </c:pt>
                <c:pt idx="2">
                  <c:v>Vishwas</c:v>
                </c:pt>
              </c:strCache>
            </c:strRef>
          </c:cat>
          <c:val>
            <c:numRef>
              <c:f>Category_Sales_Pivot!$C$5:$C$8</c:f>
              <c:numCache>
                <c:formatCode>_("$"* #,##0.00_);_("$"* \(#,##0.00\);_("$"* "-"??_);_(@_)</c:formatCode>
                <c:ptCount val="3"/>
                <c:pt idx="0">
                  <c:v>400</c:v>
                </c:pt>
                <c:pt idx="1">
                  <c:v>715</c:v>
                </c:pt>
                <c:pt idx="2">
                  <c:v>1000</c:v>
                </c:pt>
              </c:numCache>
            </c:numRef>
          </c:val>
          <c:extLst>
            <c:ext xmlns:c16="http://schemas.microsoft.com/office/drawing/2014/chart" uri="{C3380CC4-5D6E-409C-BE32-E72D297353CC}">
              <c16:uniqueId val="{00000001-F95C-4FD7-A822-01ECF723D7AA}"/>
            </c:ext>
          </c:extLst>
        </c:ser>
        <c:ser>
          <c:idx val="2"/>
          <c:order val="2"/>
          <c:tx>
            <c:strRef>
              <c:f>Category_Sales_Pivot!$D$3:$D$4</c:f>
              <c:strCache>
                <c:ptCount val="1"/>
                <c:pt idx="0">
                  <c:v>Wednesday</c:v>
                </c:pt>
              </c:strCache>
            </c:strRef>
          </c:tx>
          <c:spPr>
            <a:solidFill>
              <a:schemeClr val="accent3"/>
            </a:solidFill>
            <a:ln>
              <a:noFill/>
            </a:ln>
            <a:effectLst/>
          </c:spPr>
          <c:invertIfNegative val="0"/>
          <c:cat>
            <c:strRef>
              <c:f>Category_Sales_Pivot!$A$5:$A$8</c:f>
              <c:strCache>
                <c:ptCount val="3"/>
                <c:pt idx="0">
                  <c:v>Daksh</c:v>
                </c:pt>
                <c:pt idx="1">
                  <c:v>Naitik</c:v>
                </c:pt>
                <c:pt idx="2">
                  <c:v>Vishwas</c:v>
                </c:pt>
              </c:strCache>
            </c:strRef>
          </c:cat>
          <c:val>
            <c:numRef>
              <c:f>Category_Sales_Pivot!$D$5:$D$8</c:f>
              <c:numCache>
                <c:formatCode>_("$"* #,##0.00_);_("$"* \(#,##0.00\);_("$"* "-"??_);_(@_)</c:formatCode>
                <c:ptCount val="3"/>
                <c:pt idx="0">
                  <c:v>480</c:v>
                </c:pt>
                <c:pt idx="1">
                  <c:v>325</c:v>
                </c:pt>
                <c:pt idx="2">
                  <c:v>740</c:v>
                </c:pt>
              </c:numCache>
            </c:numRef>
          </c:val>
          <c:extLst>
            <c:ext xmlns:c16="http://schemas.microsoft.com/office/drawing/2014/chart" uri="{C3380CC4-5D6E-409C-BE32-E72D297353CC}">
              <c16:uniqueId val="{00000002-F95C-4FD7-A822-01ECF723D7AA}"/>
            </c:ext>
          </c:extLst>
        </c:ser>
        <c:ser>
          <c:idx val="3"/>
          <c:order val="3"/>
          <c:tx>
            <c:strRef>
              <c:f>Category_Sales_Pivot!$E$3:$E$4</c:f>
              <c:strCache>
                <c:ptCount val="1"/>
                <c:pt idx="0">
                  <c:v>Thursday</c:v>
                </c:pt>
              </c:strCache>
            </c:strRef>
          </c:tx>
          <c:spPr>
            <a:solidFill>
              <a:schemeClr val="accent4"/>
            </a:solidFill>
            <a:ln>
              <a:noFill/>
            </a:ln>
            <a:effectLst/>
          </c:spPr>
          <c:invertIfNegative val="0"/>
          <c:cat>
            <c:strRef>
              <c:f>Category_Sales_Pivot!$A$5:$A$8</c:f>
              <c:strCache>
                <c:ptCount val="3"/>
                <c:pt idx="0">
                  <c:v>Daksh</c:v>
                </c:pt>
                <c:pt idx="1">
                  <c:v>Naitik</c:v>
                </c:pt>
                <c:pt idx="2">
                  <c:v>Vishwas</c:v>
                </c:pt>
              </c:strCache>
            </c:strRef>
          </c:cat>
          <c:val>
            <c:numRef>
              <c:f>Category_Sales_Pivot!$E$5:$E$8</c:f>
              <c:numCache>
                <c:formatCode>_("$"* #,##0.00_);_("$"* \(#,##0.00\);_("$"* "-"??_);_(@_)</c:formatCode>
                <c:ptCount val="3"/>
                <c:pt idx="0">
                  <c:v>850</c:v>
                </c:pt>
                <c:pt idx="1">
                  <c:v>300</c:v>
                </c:pt>
                <c:pt idx="2">
                  <c:v>460</c:v>
                </c:pt>
              </c:numCache>
            </c:numRef>
          </c:val>
          <c:extLst>
            <c:ext xmlns:c16="http://schemas.microsoft.com/office/drawing/2014/chart" uri="{C3380CC4-5D6E-409C-BE32-E72D297353CC}">
              <c16:uniqueId val="{00000003-F95C-4FD7-A822-01ECF723D7AA}"/>
            </c:ext>
          </c:extLst>
        </c:ser>
        <c:ser>
          <c:idx val="4"/>
          <c:order val="4"/>
          <c:tx>
            <c:strRef>
              <c:f>Category_Sales_Pivot!$F$3:$F$4</c:f>
              <c:strCache>
                <c:ptCount val="1"/>
                <c:pt idx="0">
                  <c:v>Friday</c:v>
                </c:pt>
              </c:strCache>
            </c:strRef>
          </c:tx>
          <c:spPr>
            <a:solidFill>
              <a:schemeClr val="accent5"/>
            </a:solidFill>
            <a:ln>
              <a:noFill/>
            </a:ln>
            <a:effectLst/>
          </c:spPr>
          <c:invertIfNegative val="0"/>
          <c:cat>
            <c:strRef>
              <c:f>Category_Sales_Pivot!$A$5:$A$8</c:f>
              <c:strCache>
                <c:ptCount val="3"/>
                <c:pt idx="0">
                  <c:v>Daksh</c:v>
                </c:pt>
                <c:pt idx="1">
                  <c:v>Naitik</c:v>
                </c:pt>
                <c:pt idx="2">
                  <c:v>Vishwas</c:v>
                </c:pt>
              </c:strCache>
            </c:strRef>
          </c:cat>
          <c:val>
            <c:numRef>
              <c:f>Category_Sales_Pivot!$F$5:$F$8</c:f>
              <c:numCache>
                <c:formatCode>_("$"* #,##0.00_);_("$"* \(#,##0.00\);_("$"* "-"??_);_(@_)</c:formatCode>
                <c:ptCount val="3"/>
                <c:pt idx="0">
                  <c:v>860</c:v>
                </c:pt>
                <c:pt idx="1">
                  <c:v>1210</c:v>
                </c:pt>
                <c:pt idx="2">
                  <c:v>550</c:v>
                </c:pt>
              </c:numCache>
            </c:numRef>
          </c:val>
          <c:extLst>
            <c:ext xmlns:c16="http://schemas.microsoft.com/office/drawing/2014/chart" uri="{C3380CC4-5D6E-409C-BE32-E72D297353CC}">
              <c16:uniqueId val="{00000004-F95C-4FD7-A822-01ECF723D7AA}"/>
            </c:ext>
          </c:extLst>
        </c:ser>
        <c:ser>
          <c:idx val="5"/>
          <c:order val="5"/>
          <c:tx>
            <c:strRef>
              <c:f>Category_Sales_Pivot!$G$3:$G$4</c:f>
              <c:strCache>
                <c:ptCount val="1"/>
                <c:pt idx="0">
                  <c:v>Saturday</c:v>
                </c:pt>
              </c:strCache>
            </c:strRef>
          </c:tx>
          <c:spPr>
            <a:solidFill>
              <a:schemeClr val="accent6"/>
            </a:solidFill>
            <a:ln>
              <a:noFill/>
            </a:ln>
            <a:effectLst/>
          </c:spPr>
          <c:invertIfNegative val="0"/>
          <c:cat>
            <c:strRef>
              <c:f>Category_Sales_Pivot!$A$5:$A$8</c:f>
              <c:strCache>
                <c:ptCount val="3"/>
                <c:pt idx="0">
                  <c:v>Daksh</c:v>
                </c:pt>
                <c:pt idx="1">
                  <c:v>Naitik</c:v>
                </c:pt>
                <c:pt idx="2">
                  <c:v>Vishwas</c:v>
                </c:pt>
              </c:strCache>
            </c:strRef>
          </c:cat>
          <c:val>
            <c:numRef>
              <c:f>Category_Sales_Pivot!$G$5:$G$8</c:f>
              <c:numCache>
                <c:formatCode>_("$"* #,##0.00_);_("$"* \(#,##0.00\);_("$"* "-"??_);_(@_)</c:formatCode>
                <c:ptCount val="3"/>
                <c:pt idx="0">
                  <c:v>810</c:v>
                </c:pt>
                <c:pt idx="1">
                  <c:v>1175</c:v>
                </c:pt>
                <c:pt idx="2">
                  <c:v>870</c:v>
                </c:pt>
              </c:numCache>
            </c:numRef>
          </c:val>
          <c:extLst>
            <c:ext xmlns:c16="http://schemas.microsoft.com/office/drawing/2014/chart" uri="{C3380CC4-5D6E-409C-BE32-E72D297353CC}">
              <c16:uniqueId val="{00000005-F95C-4FD7-A822-01ECF723D7AA}"/>
            </c:ext>
          </c:extLst>
        </c:ser>
        <c:dLbls>
          <c:showLegendKey val="0"/>
          <c:showVal val="0"/>
          <c:showCatName val="0"/>
          <c:showSerName val="0"/>
          <c:showPercent val="0"/>
          <c:showBubbleSize val="0"/>
        </c:dLbls>
        <c:gapWidth val="219"/>
        <c:overlap val="-27"/>
        <c:axId val="1683110784"/>
        <c:axId val="1683108864"/>
      </c:barChart>
      <c:catAx>
        <c:axId val="168311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108864"/>
        <c:crosses val="autoZero"/>
        <c:auto val="1"/>
        <c:lblAlgn val="ctr"/>
        <c:lblOffset val="100"/>
        <c:noMultiLvlLbl val="0"/>
      </c:catAx>
      <c:valAx>
        <c:axId val="168310886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11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.xlsx]Total_Sales_Overview!PivotTable2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Total_Sales_Overview!$B$3</c:f>
              <c:strCache>
                <c:ptCount val="1"/>
                <c:pt idx="0">
                  <c:v>Total</c:v>
                </c:pt>
              </c:strCache>
            </c:strRef>
          </c:tx>
          <c:spPr>
            <a:solidFill>
              <a:schemeClr val="accent1"/>
            </a:solidFill>
            <a:ln>
              <a:noFill/>
            </a:ln>
            <a:effectLst/>
          </c:spPr>
          <c:invertIfNegative val="0"/>
          <c:cat>
            <c:multiLvlStrRef>
              <c:f>Total_Sales_Overview!$A$4:$A$16</c:f>
              <c:multiLvlStrCache>
                <c:ptCount val="9"/>
                <c:lvl>
                  <c:pt idx="0">
                    <c:v>Sandals</c:v>
                  </c:pt>
                  <c:pt idx="1">
                    <c:v>Shoes</c:v>
                  </c:pt>
                  <c:pt idx="2">
                    <c:v>Slippers</c:v>
                  </c:pt>
                  <c:pt idx="3">
                    <c:v>Sandals</c:v>
                  </c:pt>
                  <c:pt idx="4">
                    <c:v>Shoes</c:v>
                  </c:pt>
                  <c:pt idx="5">
                    <c:v>Slippers</c:v>
                  </c:pt>
                  <c:pt idx="6">
                    <c:v>Sandals</c:v>
                  </c:pt>
                  <c:pt idx="7">
                    <c:v>Shoes</c:v>
                  </c:pt>
                  <c:pt idx="8">
                    <c:v>Slippers</c:v>
                  </c:pt>
                </c:lvl>
                <c:lvl>
                  <c:pt idx="0">
                    <c:v>Daksh</c:v>
                  </c:pt>
                  <c:pt idx="3">
                    <c:v>Naitik</c:v>
                  </c:pt>
                  <c:pt idx="6">
                    <c:v>Vishwas</c:v>
                  </c:pt>
                </c:lvl>
              </c:multiLvlStrCache>
            </c:multiLvlStrRef>
          </c:cat>
          <c:val>
            <c:numRef>
              <c:f>Total_Sales_Overview!$B$4:$B$16</c:f>
              <c:numCache>
                <c:formatCode>_("$"* #,##0.00_);_("$"* \(#,##0.00\);_("$"* "-"??_);_(@_)</c:formatCode>
                <c:ptCount val="9"/>
                <c:pt idx="0">
                  <c:v>610</c:v>
                </c:pt>
                <c:pt idx="1">
                  <c:v>1500</c:v>
                </c:pt>
                <c:pt idx="2">
                  <c:v>1900</c:v>
                </c:pt>
                <c:pt idx="3">
                  <c:v>805</c:v>
                </c:pt>
                <c:pt idx="4">
                  <c:v>2615</c:v>
                </c:pt>
                <c:pt idx="5">
                  <c:v>1170</c:v>
                </c:pt>
                <c:pt idx="6">
                  <c:v>675</c:v>
                </c:pt>
                <c:pt idx="7">
                  <c:v>3015</c:v>
                </c:pt>
                <c:pt idx="8">
                  <c:v>360</c:v>
                </c:pt>
              </c:numCache>
            </c:numRef>
          </c:val>
          <c:extLst>
            <c:ext xmlns:c16="http://schemas.microsoft.com/office/drawing/2014/chart" uri="{C3380CC4-5D6E-409C-BE32-E72D297353CC}">
              <c16:uniqueId val="{00000000-996C-486F-95E6-2203FF12B672}"/>
            </c:ext>
          </c:extLst>
        </c:ser>
        <c:dLbls>
          <c:showLegendKey val="0"/>
          <c:showVal val="0"/>
          <c:showCatName val="0"/>
          <c:showSerName val="0"/>
          <c:showPercent val="0"/>
          <c:showBubbleSize val="0"/>
        </c:dLbls>
        <c:gapWidth val="150"/>
        <c:overlap val="100"/>
        <c:axId val="1292331312"/>
        <c:axId val="1292333232"/>
      </c:barChart>
      <c:catAx>
        <c:axId val="129233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333232"/>
        <c:crosses val="autoZero"/>
        <c:auto val="1"/>
        <c:lblAlgn val="ctr"/>
        <c:lblOffset val="100"/>
        <c:noMultiLvlLbl val="0"/>
      </c:catAx>
      <c:valAx>
        <c:axId val="12923332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33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12700</xdr:colOff>
      <xdr:row>1</xdr:row>
      <xdr:rowOff>12700</xdr:rowOff>
    </xdr:from>
    <xdr:to>
      <xdr:col>6</xdr:col>
      <xdr:colOff>0</xdr:colOff>
      <xdr:row>11</xdr:row>
      <xdr:rowOff>0</xdr:rowOff>
    </xdr:to>
    <xdr:sp macro="" textlink="">
      <xdr:nvSpPr>
        <xdr:cNvPr id="2" name="Rectangular Callout 1">
          <a:extLst>
            <a:ext uri="{FF2B5EF4-FFF2-40B4-BE49-F238E27FC236}">
              <a16:creationId xmlns:a16="http://schemas.microsoft.com/office/drawing/2014/main" id="{50D61074-A051-E558-E62F-BD9D721BB9ED}"/>
            </a:ext>
          </a:extLst>
        </xdr:cNvPr>
        <xdr:cNvSpPr/>
      </xdr:nvSpPr>
      <xdr:spPr>
        <a:xfrm>
          <a:off x="838200" y="215900"/>
          <a:ext cx="4114800" cy="2019300"/>
        </a:xfrm>
        <a:prstGeom prst="wedgeRectCallou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a:solidFill>
                <a:schemeClr val="tx1"/>
              </a:solidFill>
            </a:rPr>
            <a:t>The</a:t>
          </a:r>
          <a:r>
            <a:rPr lang="en-US" sz="1500" baseline="0">
              <a:solidFill>
                <a:schemeClr val="tx1"/>
              </a:solidFill>
            </a:rPr>
            <a:t> purpose of this project is to help a hypothetical local footwear store increase its sales and identify their employee asset. Hypothetical data has been collected and used for determining KPI's (Key Performance Indicators). The data and result will also be graphically represented and this same information may be used by the store to help their sales.</a:t>
          </a:r>
          <a:endParaRPr lang="en-US" sz="15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971550</xdr:colOff>
      <xdr:row>2</xdr:row>
      <xdr:rowOff>95250</xdr:rowOff>
    </xdr:from>
    <xdr:to>
      <xdr:col>9</xdr:col>
      <xdr:colOff>1343025</xdr:colOff>
      <xdr:row>14</xdr:row>
      <xdr:rowOff>161925</xdr:rowOff>
    </xdr:to>
    <mc:AlternateContent xmlns:mc="http://schemas.openxmlformats.org/markup-compatibility/2006" xmlns:a14="http://schemas.microsoft.com/office/drawing/2010/main">
      <mc:Choice Requires="a14">
        <xdr:graphicFrame macro="">
          <xdr:nvGraphicFramePr>
            <xdr:cNvPr id="4" name="Day 1">
              <a:extLst>
                <a:ext uri="{FF2B5EF4-FFF2-40B4-BE49-F238E27FC236}">
                  <a16:creationId xmlns:a16="http://schemas.microsoft.com/office/drawing/2014/main" id="{F5DAE61A-FA8F-235A-C7C7-93DB3324251A}"/>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8353425" y="495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7</xdr:row>
      <xdr:rowOff>0</xdr:rowOff>
    </xdr:from>
    <xdr:to>
      <xdr:col>11</xdr:col>
      <xdr:colOff>371475</xdr:colOff>
      <xdr:row>17</xdr:row>
      <xdr:rowOff>66675</xdr:rowOff>
    </xdr:to>
    <mc:AlternateContent xmlns:mc="http://schemas.openxmlformats.org/markup-compatibility/2006" xmlns:a14="http://schemas.microsoft.com/office/drawing/2010/main">
      <mc:Choice Requires="a14">
        <xdr:graphicFrame macro="">
          <xdr:nvGraphicFramePr>
            <xdr:cNvPr id="5" name="salesperson 1">
              <a:extLst>
                <a:ext uri="{FF2B5EF4-FFF2-40B4-BE49-F238E27FC236}">
                  <a16:creationId xmlns:a16="http://schemas.microsoft.com/office/drawing/2014/main" id="{4C6EFC13-3B88-4449-818B-35F4F2A585F3}"/>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0210800" y="1400175"/>
              <a:ext cx="1828800" cy="2066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390525</xdr:colOff>
      <xdr:row>2</xdr:row>
      <xdr:rowOff>123825</xdr:rowOff>
    </xdr:from>
    <xdr:to>
      <xdr:col>12</xdr:col>
      <xdr:colOff>847725</xdr:colOff>
      <xdr:row>13</xdr:row>
      <xdr:rowOff>0</xdr:rowOff>
    </xdr:to>
    <mc:AlternateContent xmlns:mc="http://schemas.openxmlformats.org/markup-compatibility/2006" xmlns:a14="http://schemas.microsoft.com/office/drawing/2010/main">
      <mc:Choice Requires="a14">
        <xdr:graphicFrame macro="">
          <xdr:nvGraphicFramePr>
            <xdr:cNvPr id="6" name="Item">
              <a:extLst>
                <a:ext uri="{FF2B5EF4-FFF2-40B4-BE49-F238E27FC236}">
                  <a16:creationId xmlns:a16="http://schemas.microsoft.com/office/drawing/2014/main" id="{AC19DD85-9187-4ED3-A1F0-FC583B2BF046}"/>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2058650" y="523875"/>
              <a:ext cx="1828800" cy="2076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123825</xdr:colOff>
      <xdr:row>4</xdr:row>
      <xdr:rowOff>19050</xdr:rowOff>
    </xdr:from>
    <xdr:to>
      <xdr:col>13</xdr:col>
      <xdr:colOff>581025</xdr:colOff>
      <xdr:row>17</xdr:row>
      <xdr:rowOff>85725</xdr:rowOff>
    </xdr:to>
    <mc:AlternateContent xmlns:mc="http://schemas.openxmlformats.org/markup-compatibility/2006" xmlns:a14="http://schemas.microsoft.com/office/drawing/2010/main">
      <mc:Choice Requires="a14">
        <xdr:graphicFrame macro="">
          <xdr:nvGraphicFramePr>
            <xdr:cNvPr id="2" name="Day">
              <a:extLst>
                <a:ext uri="{FF2B5EF4-FFF2-40B4-BE49-F238E27FC236}">
                  <a16:creationId xmlns:a16="http://schemas.microsoft.com/office/drawing/2014/main" id="{9852BB1E-DFBD-647F-8D37-C7A80B0EB74B}"/>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9563100" y="8191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657225</xdr:colOff>
      <xdr:row>3</xdr:row>
      <xdr:rowOff>152400</xdr:rowOff>
    </xdr:from>
    <xdr:to>
      <xdr:col>16</xdr:col>
      <xdr:colOff>428625</xdr:colOff>
      <xdr:row>17</xdr:row>
      <xdr:rowOff>19050</xdr:rowOff>
    </xdr:to>
    <mc:AlternateContent xmlns:mc="http://schemas.openxmlformats.org/markup-compatibility/2006" xmlns:a14="http://schemas.microsoft.com/office/drawing/2010/main">
      <mc:Choice Requires="a14">
        <xdr:graphicFrame macro="">
          <xdr:nvGraphicFramePr>
            <xdr:cNvPr id="3" name="salesperson">
              <a:extLst>
                <a:ext uri="{FF2B5EF4-FFF2-40B4-BE49-F238E27FC236}">
                  <a16:creationId xmlns:a16="http://schemas.microsoft.com/office/drawing/2014/main" id="{386C84A3-D768-BA48-9DBA-FC94757F9548}"/>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1468100" y="7524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1414461</xdr:colOff>
      <xdr:row>8</xdr:row>
      <xdr:rowOff>190499</xdr:rowOff>
    </xdr:from>
    <xdr:to>
      <xdr:col>10</xdr:col>
      <xdr:colOff>666749</xdr:colOff>
      <xdr:row>30</xdr:row>
      <xdr:rowOff>180974</xdr:rowOff>
    </xdr:to>
    <xdr:graphicFrame macro="">
      <xdr:nvGraphicFramePr>
        <xdr:cNvPr id="4" name="Chart 3">
          <a:extLst>
            <a:ext uri="{FF2B5EF4-FFF2-40B4-BE49-F238E27FC236}">
              <a16:creationId xmlns:a16="http://schemas.microsoft.com/office/drawing/2014/main" id="{18E657AA-3AAC-AB4B-064D-59971B56A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242886</xdr:colOff>
      <xdr:row>1</xdr:row>
      <xdr:rowOff>180975</xdr:rowOff>
    </xdr:from>
    <xdr:to>
      <xdr:col>11</xdr:col>
      <xdr:colOff>76199</xdr:colOff>
      <xdr:row>17</xdr:row>
      <xdr:rowOff>180975</xdr:rowOff>
    </xdr:to>
    <xdr:graphicFrame macro="">
      <xdr:nvGraphicFramePr>
        <xdr:cNvPr id="2" name="Chart 1">
          <a:extLst>
            <a:ext uri="{FF2B5EF4-FFF2-40B4-BE49-F238E27FC236}">
              <a16:creationId xmlns:a16="http://schemas.microsoft.com/office/drawing/2014/main" id="{502CFAC1-54FD-7B32-8EA6-4233B22FB1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142875</xdr:colOff>
      <xdr:row>1</xdr:row>
      <xdr:rowOff>47625</xdr:rowOff>
    </xdr:from>
    <xdr:to>
      <xdr:col>13</xdr:col>
      <xdr:colOff>600075</xdr:colOff>
      <xdr:row>8</xdr:row>
      <xdr:rowOff>95250</xdr:rowOff>
    </xdr:to>
    <mc:AlternateContent xmlns:mc="http://schemas.openxmlformats.org/markup-compatibility/2006" xmlns:a14="http://schemas.microsoft.com/office/drawing/2010/main">
      <mc:Choice Requires="a14">
        <xdr:graphicFrame macro="">
          <xdr:nvGraphicFramePr>
            <xdr:cNvPr id="3" name="salesperson 2">
              <a:extLst>
                <a:ext uri="{FF2B5EF4-FFF2-40B4-BE49-F238E27FC236}">
                  <a16:creationId xmlns:a16="http://schemas.microsoft.com/office/drawing/2014/main" id="{25867AF8-C6F1-6812-1D60-AD5A726876B6}"/>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8715375" y="247650"/>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xdr:colOff>
      <xdr:row>1</xdr:row>
      <xdr:rowOff>19050</xdr:rowOff>
    </xdr:from>
    <xdr:to>
      <xdr:col>16</xdr:col>
      <xdr:colOff>466725</xdr:colOff>
      <xdr:row>8</xdr:row>
      <xdr:rowOff>104775</xdr:rowOff>
    </xdr:to>
    <mc:AlternateContent xmlns:mc="http://schemas.openxmlformats.org/markup-compatibility/2006" xmlns:a14="http://schemas.microsoft.com/office/drawing/2010/main">
      <mc:Choice Requires="a14">
        <xdr:graphicFrame macro="">
          <xdr:nvGraphicFramePr>
            <xdr:cNvPr id="4" name="Item 1">
              <a:extLst>
                <a:ext uri="{FF2B5EF4-FFF2-40B4-BE49-F238E27FC236}">
                  <a16:creationId xmlns:a16="http://schemas.microsoft.com/office/drawing/2014/main" id="{E39C3F15-A912-EBC2-FC46-7F6D6F8A5DCE}"/>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0639425" y="219075"/>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v7" refreshedDate="45860.682627662034" createdVersion="8" refreshedVersion="8" minRefreshableVersion="3" recordCount="78" xr:uid="{48B8B618-4A47-4C99-86BE-B9A16F5689CC}">
  <cacheSource type="worksheet">
    <worksheetSource ref="A1:G79" sheet="Raw_Sales_Data"/>
  </cacheSource>
  <cacheFields count="7">
    <cacheField name="Date" numFmtId="16">
      <sharedItems containsSemiMixedTypes="0" containsNonDate="0" containsDate="1" containsString="0" minDate="2022-07-01T00:00:00" maxDate="2022-07-31T00:00:00" count="26">
        <d v="2022-07-01T00:00:00"/>
        <d v="2022-07-02T00:00:00"/>
        <d v="2022-07-04T00:00:00"/>
        <d v="2022-07-05T00:00:00"/>
        <d v="2022-07-06T00:00:00"/>
        <d v="2022-07-07T00:00:00"/>
        <d v="2022-07-08T00:00:00"/>
        <d v="2022-07-09T00:00:00"/>
        <d v="2022-07-11T00:00:00"/>
        <d v="2022-07-12T00:00:00"/>
        <d v="2022-07-13T00:00:00"/>
        <d v="2022-07-14T00:00:00"/>
        <d v="2022-07-15T00:00:00"/>
        <d v="2022-07-16T00:00:00"/>
        <d v="2022-07-18T00:00:00"/>
        <d v="2022-07-19T00:00:00"/>
        <d v="2022-07-20T00:00:00"/>
        <d v="2022-07-21T00:00:00"/>
        <d v="2022-07-22T00:00:00"/>
        <d v="2022-07-23T00:00:00"/>
        <d v="2022-07-25T00:00:00"/>
        <d v="2022-07-26T00:00:00"/>
        <d v="2022-07-27T00:00:00"/>
        <d v="2022-07-28T00:00:00"/>
        <d v="2022-07-29T00:00:00"/>
        <d v="2022-07-30T00:00:00"/>
      </sharedItems>
    </cacheField>
    <cacheField name="Day" numFmtId="0">
      <sharedItems count="6">
        <s v="Friday"/>
        <s v="Saturday"/>
        <s v="Monday"/>
        <s v="Tuesday"/>
        <s v="Wednesday"/>
        <s v="Thursday"/>
      </sharedItems>
    </cacheField>
    <cacheField name="Transaction nuber" numFmtId="0">
      <sharedItems containsSemiMixedTypes="0" containsString="0" containsNumber="1" containsInteger="1" minValue="1" maxValue="66" count="6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sharedItems>
    </cacheField>
    <cacheField name="salesperson" numFmtId="0">
      <sharedItems count="3">
        <s v="Vishwas"/>
        <s v="Naitik"/>
        <s v="Daksh"/>
      </sharedItems>
    </cacheField>
    <cacheField name="Item" numFmtId="0">
      <sharedItems count="3">
        <s v="Shoes"/>
        <s v="Slippers"/>
        <s v="Sandals"/>
      </sharedItems>
    </cacheField>
    <cacheField name="No. of items" numFmtId="0">
      <sharedItems containsSemiMixedTypes="0" containsString="0" containsNumber="1" containsInteger="1" minValue="1" maxValue="4" count="4">
        <n v="1"/>
        <n v="2"/>
        <n v="3"/>
        <n v="4"/>
      </sharedItems>
    </cacheField>
    <cacheField name="Sales amount" numFmtId="164">
      <sharedItems containsSemiMixedTypes="0" containsString="0" containsNumber="1" containsInteger="1" minValue="40" maxValue="600" count="23">
        <n v="100"/>
        <n v="60"/>
        <n v="50"/>
        <n v="45"/>
        <n v="75"/>
        <n v="110"/>
        <n v="150"/>
        <n v="80"/>
        <n v="120"/>
        <n v="200"/>
        <n v="250"/>
        <n v="140"/>
        <n v="130"/>
        <n v="300"/>
        <n v="600"/>
        <n v="40"/>
        <n v="400"/>
        <n v="55"/>
        <n v="220"/>
        <n v="210"/>
        <n v="275"/>
        <n v="375"/>
        <n v="125"/>
      </sharedItems>
    </cacheField>
  </cacheFields>
  <extLst>
    <ext xmlns:x14="http://schemas.microsoft.com/office/spreadsheetml/2009/9/main" uri="{725AE2AE-9491-48be-B2B4-4EB974FC3084}">
      <x14:pivotCacheDefinition pivotCacheId="15177075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
  <r>
    <x v="0"/>
    <x v="0"/>
    <x v="0"/>
    <x v="0"/>
    <x v="0"/>
    <x v="0"/>
    <x v="0"/>
  </r>
  <r>
    <x v="0"/>
    <x v="0"/>
    <x v="1"/>
    <x v="1"/>
    <x v="0"/>
    <x v="0"/>
    <x v="1"/>
  </r>
  <r>
    <x v="0"/>
    <x v="0"/>
    <x v="2"/>
    <x v="2"/>
    <x v="1"/>
    <x v="0"/>
    <x v="2"/>
  </r>
  <r>
    <x v="1"/>
    <x v="1"/>
    <x v="3"/>
    <x v="0"/>
    <x v="2"/>
    <x v="0"/>
    <x v="3"/>
  </r>
  <r>
    <x v="1"/>
    <x v="1"/>
    <x v="3"/>
    <x v="0"/>
    <x v="0"/>
    <x v="0"/>
    <x v="4"/>
  </r>
  <r>
    <x v="1"/>
    <x v="1"/>
    <x v="4"/>
    <x v="1"/>
    <x v="2"/>
    <x v="1"/>
    <x v="5"/>
  </r>
  <r>
    <x v="2"/>
    <x v="2"/>
    <x v="5"/>
    <x v="1"/>
    <x v="0"/>
    <x v="2"/>
    <x v="6"/>
  </r>
  <r>
    <x v="2"/>
    <x v="2"/>
    <x v="6"/>
    <x v="2"/>
    <x v="0"/>
    <x v="0"/>
    <x v="0"/>
  </r>
  <r>
    <x v="2"/>
    <x v="2"/>
    <x v="6"/>
    <x v="2"/>
    <x v="1"/>
    <x v="0"/>
    <x v="2"/>
  </r>
  <r>
    <x v="2"/>
    <x v="2"/>
    <x v="7"/>
    <x v="2"/>
    <x v="1"/>
    <x v="1"/>
    <x v="7"/>
  </r>
  <r>
    <x v="3"/>
    <x v="3"/>
    <x v="8"/>
    <x v="1"/>
    <x v="0"/>
    <x v="1"/>
    <x v="8"/>
  </r>
  <r>
    <x v="3"/>
    <x v="3"/>
    <x v="9"/>
    <x v="1"/>
    <x v="2"/>
    <x v="2"/>
    <x v="8"/>
  </r>
  <r>
    <x v="4"/>
    <x v="4"/>
    <x v="10"/>
    <x v="0"/>
    <x v="0"/>
    <x v="1"/>
    <x v="6"/>
  </r>
  <r>
    <x v="4"/>
    <x v="4"/>
    <x v="11"/>
    <x v="0"/>
    <x v="1"/>
    <x v="2"/>
    <x v="6"/>
  </r>
  <r>
    <x v="5"/>
    <x v="5"/>
    <x v="12"/>
    <x v="2"/>
    <x v="1"/>
    <x v="1"/>
    <x v="9"/>
  </r>
  <r>
    <x v="5"/>
    <x v="5"/>
    <x v="12"/>
    <x v="2"/>
    <x v="0"/>
    <x v="0"/>
    <x v="6"/>
  </r>
  <r>
    <x v="5"/>
    <x v="5"/>
    <x v="13"/>
    <x v="1"/>
    <x v="0"/>
    <x v="0"/>
    <x v="6"/>
  </r>
  <r>
    <x v="6"/>
    <x v="0"/>
    <x v="14"/>
    <x v="1"/>
    <x v="1"/>
    <x v="3"/>
    <x v="9"/>
  </r>
  <r>
    <x v="6"/>
    <x v="0"/>
    <x v="15"/>
    <x v="0"/>
    <x v="2"/>
    <x v="1"/>
    <x v="0"/>
  </r>
  <r>
    <x v="6"/>
    <x v="0"/>
    <x v="16"/>
    <x v="1"/>
    <x v="0"/>
    <x v="0"/>
    <x v="10"/>
  </r>
  <r>
    <x v="7"/>
    <x v="1"/>
    <x v="17"/>
    <x v="1"/>
    <x v="0"/>
    <x v="0"/>
    <x v="11"/>
  </r>
  <r>
    <x v="7"/>
    <x v="1"/>
    <x v="18"/>
    <x v="2"/>
    <x v="1"/>
    <x v="1"/>
    <x v="5"/>
  </r>
  <r>
    <x v="8"/>
    <x v="2"/>
    <x v="19"/>
    <x v="0"/>
    <x v="2"/>
    <x v="1"/>
    <x v="12"/>
  </r>
  <r>
    <x v="8"/>
    <x v="2"/>
    <x v="20"/>
    <x v="2"/>
    <x v="2"/>
    <x v="1"/>
    <x v="12"/>
  </r>
  <r>
    <x v="8"/>
    <x v="2"/>
    <x v="21"/>
    <x v="1"/>
    <x v="0"/>
    <x v="2"/>
    <x v="13"/>
  </r>
  <r>
    <x v="9"/>
    <x v="3"/>
    <x v="22"/>
    <x v="1"/>
    <x v="1"/>
    <x v="1"/>
    <x v="9"/>
  </r>
  <r>
    <x v="9"/>
    <x v="3"/>
    <x v="23"/>
    <x v="0"/>
    <x v="0"/>
    <x v="2"/>
    <x v="14"/>
  </r>
  <r>
    <x v="10"/>
    <x v="4"/>
    <x v="24"/>
    <x v="2"/>
    <x v="1"/>
    <x v="0"/>
    <x v="0"/>
  </r>
  <r>
    <x v="10"/>
    <x v="4"/>
    <x v="24"/>
    <x v="2"/>
    <x v="0"/>
    <x v="0"/>
    <x v="0"/>
  </r>
  <r>
    <x v="11"/>
    <x v="5"/>
    <x v="25"/>
    <x v="1"/>
    <x v="1"/>
    <x v="1"/>
    <x v="6"/>
  </r>
  <r>
    <x v="11"/>
    <x v="5"/>
    <x v="26"/>
    <x v="0"/>
    <x v="2"/>
    <x v="0"/>
    <x v="2"/>
  </r>
  <r>
    <x v="11"/>
    <x v="5"/>
    <x v="27"/>
    <x v="0"/>
    <x v="2"/>
    <x v="0"/>
    <x v="2"/>
  </r>
  <r>
    <x v="12"/>
    <x v="0"/>
    <x v="28"/>
    <x v="1"/>
    <x v="0"/>
    <x v="1"/>
    <x v="9"/>
  </r>
  <r>
    <x v="12"/>
    <x v="0"/>
    <x v="28"/>
    <x v="2"/>
    <x v="1"/>
    <x v="1"/>
    <x v="0"/>
  </r>
  <r>
    <x v="12"/>
    <x v="0"/>
    <x v="29"/>
    <x v="2"/>
    <x v="2"/>
    <x v="0"/>
    <x v="0"/>
  </r>
  <r>
    <x v="12"/>
    <x v="0"/>
    <x v="30"/>
    <x v="2"/>
    <x v="0"/>
    <x v="0"/>
    <x v="9"/>
  </r>
  <r>
    <x v="13"/>
    <x v="1"/>
    <x v="31"/>
    <x v="1"/>
    <x v="0"/>
    <x v="0"/>
    <x v="6"/>
  </r>
  <r>
    <x v="13"/>
    <x v="1"/>
    <x v="31"/>
    <x v="1"/>
    <x v="1"/>
    <x v="0"/>
    <x v="4"/>
  </r>
  <r>
    <x v="13"/>
    <x v="1"/>
    <x v="32"/>
    <x v="0"/>
    <x v="0"/>
    <x v="1"/>
    <x v="6"/>
  </r>
  <r>
    <x v="13"/>
    <x v="1"/>
    <x v="32"/>
    <x v="0"/>
    <x v="2"/>
    <x v="1"/>
    <x v="6"/>
  </r>
  <r>
    <x v="14"/>
    <x v="2"/>
    <x v="33"/>
    <x v="1"/>
    <x v="1"/>
    <x v="0"/>
    <x v="15"/>
  </r>
  <r>
    <x v="14"/>
    <x v="2"/>
    <x v="34"/>
    <x v="2"/>
    <x v="0"/>
    <x v="1"/>
    <x v="10"/>
  </r>
  <r>
    <x v="15"/>
    <x v="3"/>
    <x v="35"/>
    <x v="2"/>
    <x v="0"/>
    <x v="2"/>
    <x v="13"/>
  </r>
  <r>
    <x v="15"/>
    <x v="3"/>
    <x v="36"/>
    <x v="0"/>
    <x v="0"/>
    <x v="1"/>
    <x v="16"/>
  </r>
  <r>
    <x v="15"/>
    <x v="3"/>
    <x v="37"/>
    <x v="1"/>
    <x v="2"/>
    <x v="1"/>
    <x v="9"/>
  </r>
  <r>
    <x v="16"/>
    <x v="4"/>
    <x v="38"/>
    <x v="1"/>
    <x v="1"/>
    <x v="2"/>
    <x v="6"/>
  </r>
  <r>
    <x v="16"/>
    <x v="4"/>
    <x v="39"/>
    <x v="1"/>
    <x v="1"/>
    <x v="0"/>
    <x v="17"/>
  </r>
  <r>
    <x v="16"/>
    <x v="4"/>
    <x v="39"/>
    <x v="1"/>
    <x v="0"/>
    <x v="0"/>
    <x v="8"/>
  </r>
  <r>
    <x v="16"/>
    <x v="4"/>
    <x v="40"/>
    <x v="2"/>
    <x v="2"/>
    <x v="1"/>
    <x v="12"/>
  </r>
  <r>
    <x v="16"/>
    <x v="4"/>
    <x v="41"/>
    <x v="0"/>
    <x v="0"/>
    <x v="1"/>
    <x v="18"/>
  </r>
  <r>
    <x v="17"/>
    <x v="5"/>
    <x v="42"/>
    <x v="0"/>
    <x v="1"/>
    <x v="0"/>
    <x v="1"/>
  </r>
  <r>
    <x v="17"/>
    <x v="5"/>
    <x v="43"/>
    <x v="2"/>
    <x v="0"/>
    <x v="1"/>
    <x v="9"/>
  </r>
  <r>
    <x v="17"/>
    <x v="5"/>
    <x v="44"/>
    <x v="2"/>
    <x v="1"/>
    <x v="0"/>
    <x v="0"/>
  </r>
  <r>
    <x v="18"/>
    <x v="0"/>
    <x v="45"/>
    <x v="0"/>
    <x v="1"/>
    <x v="1"/>
    <x v="6"/>
  </r>
  <r>
    <x v="18"/>
    <x v="0"/>
    <x v="45"/>
    <x v="0"/>
    <x v="0"/>
    <x v="1"/>
    <x v="9"/>
  </r>
  <r>
    <x v="18"/>
    <x v="0"/>
    <x v="46"/>
    <x v="1"/>
    <x v="1"/>
    <x v="2"/>
    <x v="6"/>
  </r>
  <r>
    <x v="18"/>
    <x v="0"/>
    <x v="47"/>
    <x v="2"/>
    <x v="1"/>
    <x v="2"/>
    <x v="19"/>
  </r>
  <r>
    <x v="18"/>
    <x v="0"/>
    <x v="48"/>
    <x v="2"/>
    <x v="1"/>
    <x v="1"/>
    <x v="0"/>
  </r>
  <r>
    <x v="19"/>
    <x v="1"/>
    <x v="49"/>
    <x v="1"/>
    <x v="2"/>
    <x v="2"/>
    <x v="6"/>
  </r>
  <r>
    <x v="19"/>
    <x v="1"/>
    <x v="50"/>
    <x v="1"/>
    <x v="0"/>
    <x v="0"/>
    <x v="20"/>
  </r>
  <r>
    <x v="19"/>
    <x v="1"/>
    <x v="51"/>
    <x v="2"/>
    <x v="0"/>
    <x v="0"/>
    <x v="9"/>
  </r>
  <r>
    <x v="19"/>
    <x v="1"/>
    <x v="51"/>
    <x v="2"/>
    <x v="1"/>
    <x v="1"/>
    <x v="9"/>
  </r>
  <r>
    <x v="19"/>
    <x v="1"/>
    <x v="52"/>
    <x v="0"/>
    <x v="2"/>
    <x v="1"/>
    <x v="6"/>
  </r>
  <r>
    <x v="20"/>
    <x v="2"/>
    <x v="53"/>
    <x v="1"/>
    <x v="0"/>
    <x v="1"/>
    <x v="21"/>
  </r>
  <r>
    <x v="20"/>
    <x v="2"/>
    <x v="54"/>
    <x v="0"/>
    <x v="0"/>
    <x v="2"/>
    <x v="13"/>
  </r>
  <r>
    <x v="21"/>
    <x v="3"/>
    <x v="55"/>
    <x v="2"/>
    <x v="1"/>
    <x v="0"/>
    <x v="0"/>
  </r>
  <r>
    <x v="21"/>
    <x v="3"/>
    <x v="56"/>
    <x v="1"/>
    <x v="2"/>
    <x v="0"/>
    <x v="4"/>
  </r>
  <r>
    <x v="22"/>
    <x v="4"/>
    <x v="57"/>
    <x v="2"/>
    <x v="2"/>
    <x v="1"/>
    <x v="6"/>
  </r>
  <r>
    <x v="22"/>
    <x v="4"/>
    <x v="57"/>
    <x v="0"/>
    <x v="0"/>
    <x v="1"/>
    <x v="18"/>
  </r>
  <r>
    <x v="23"/>
    <x v="5"/>
    <x v="58"/>
    <x v="0"/>
    <x v="0"/>
    <x v="0"/>
    <x v="13"/>
  </r>
  <r>
    <x v="23"/>
    <x v="5"/>
    <x v="59"/>
    <x v="2"/>
    <x v="1"/>
    <x v="1"/>
    <x v="9"/>
  </r>
  <r>
    <x v="24"/>
    <x v="0"/>
    <x v="60"/>
    <x v="1"/>
    <x v="2"/>
    <x v="2"/>
    <x v="6"/>
  </r>
  <r>
    <x v="24"/>
    <x v="0"/>
    <x v="60"/>
    <x v="1"/>
    <x v="0"/>
    <x v="1"/>
    <x v="9"/>
  </r>
  <r>
    <x v="24"/>
    <x v="0"/>
    <x v="61"/>
    <x v="2"/>
    <x v="2"/>
    <x v="0"/>
    <x v="0"/>
  </r>
  <r>
    <x v="25"/>
    <x v="1"/>
    <x v="62"/>
    <x v="0"/>
    <x v="0"/>
    <x v="1"/>
    <x v="13"/>
  </r>
  <r>
    <x v="25"/>
    <x v="1"/>
    <x v="63"/>
    <x v="2"/>
    <x v="1"/>
    <x v="2"/>
    <x v="13"/>
  </r>
  <r>
    <x v="25"/>
    <x v="1"/>
    <x v="64"/>
    <x v="1"/>
    <x v="1"/>
    <x v="1"/>
    <x v="6"/>
  </r>
  <r>
    <x v="25"/>
    <x v="1"/>
    <x v="65"/>
    <x v="1"/>
    <x v="0"/>
    <x v="0"/>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0C8B75-B7EC-40DD-815E-BD5390DC4B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7">
    <pivotField numFmtId="16" showAll="0"/>
    <pivotField showAll="0"/>
    <pivotField showAll="0"/>
    <pivotField axis="axisRow" showAll="0">
      <items count="4">
        <item x="2"/>
        <item x="1"/>
        <item x="0"/>
        <item t="default"/>
      </items>
    </pivotField>
    <pivotField showAll="0"/>
    <pivotField showAll="0"/>
    <pivotField dataField="1" numFmtId="164" showAll="0">
      <items count="24">
        <item x="15"/>
        <item x="3"/>
        <item x="2"/>
        <item x="17"/>
        <item x="1"/>
        <item x="4"/>
        <item x="7"/>
        <item x="0"/>
        <item x="5"/>
        <item x="8"/>
        <item x="22"/>
        <item x="12"/>
        <item x="11"/>
        <item x="6"/>
        <item x="9"/>
        <item x="19"/>
        <item x="18"/>
        <item x="10"/>
        <item x="20"/>
        <item x="13"/>
        <item x="21"/>
        <item x="16"/>
        <item x="14"/>
        <item t="default"/>
      </items>
    </pivotField>
  </pivotFields>
  <rowFields count="1">
    <field x="3"/>
  </rowFields>
  <rowItems count="4">
    <i>
      <x/>
    </i>
    <i>
      <x v="1"/>
    </i>
    <i>
      <x v="2"/>
    </i>
    <i t="grand">
      <x/>
    </i>
  </rowItems>
  <colFields count="1">
    <field x="-2"/>
  </colFields>
  <colItems count="2">
    <i>
      <x/>
    </i>
    <i i="1">
      <x v="1"/>
    </i>
  </colItems>
  <dataFields count="2">
    <dataField name="Sum of Sales amount" fld="6" baseField="0" baseItem="0" numFmtId="164"/>
    <dataField name="Average of Sales amount2" fld="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C8C2CB-12FE-4715-AB24-91C27CAB81A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pivotFields count="7">
    <pivotField numFmtId="16" showAll="0"/>
    <pivotField showAll="0"/>
    <pivotField showAll="0"/>
    <pivotField axis="axisRow" showAll="0">
      <items count="4">
        <item x="2"/>
        <item x="1"/>
        <item x="0"/>
        <item t="default"/>
      </items>
    </pivotField>
    <pivotField showAll="0"/>
    <pivotField showAll="0"/>
    <pivotField dataField="1" numFmtId="164" showAll="0">
      <items count="24">
        <item x="15"/>
        <item x="3"/>
        <item x="2"/>
        <item x="17"/>
        <item x="1"/>
        <item x="4"/>
        <item x="7"/>
        <item x="0"/>
        <item x="5"/>
        <item x="8"/>
        <item x="22"/>
        <item x="12"/>
        <item x="11"/>
        <item x="6"/>
        <item x="9"/>
        <item x="19"/>
        <item x="18"/>
        <item x="10"/>
        <item x="20"/>
        <item x="13"/>
        <item x="21"/>
        <item x="16"/>
        <item x="14"/>
        <item t="default"/>
      </items>
    </pivotField>
  </pivotFields>
  <rowFields count="1">
    <field x="3"/>
  </rowFields>
  <rowItems count="4">
    <i>
      <x/>
    </i>
    <i>
      <x v="1"/>
    </i>
    <i>
      <x v="2"/>
    </i>
    <i t="grand">
      <x/>
    </i>
  </rowItems>
  <colFields count="1">
    <field x="-2"/>
  </colFields>
  <colItems count="3">
    <i>
      <x/>
    </i>
    <i i="1">
      <x v="1"/>
    </i>
    <i i="2">
      <x v="2"/>
    </i>
  </colItems>
  <dataFields count="3">
    <dataField name="Sum of Sales amount" fld="6" baseField="0" baseItem="0" numFmtId="164"/>
    <dataField name="Max of Sales amount2" fld="6" subtotal="max" baseField="0" baseItem="0" numFmtId="164"/>
    <dataField name="Min of Sales amount2" fld="6" subtotal="min"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9356CF-06D0-43AC-8175-673E537098A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7">
    <pivotField numFmtId="16" showAll="0"/>
    <pivotField showAll="0"/>
    <pivotField showAll="0"/>
    <pivotField axis="axisRow" showAll="0">
      <items count="4">
        <item x="2"/>
        <item x="1"/>
        <item x="0"/>
        <item t="default"/>
      </items>
    </pivotField>
    <pivotField axis="axisRow" showAll="0">
      <items count="4">
        <item x="2"/>
        <item x="0"/>
        <item x="1"/>
        <item t="default"/>
      </items>
    </pivotField>
    <pivotField dataField="1" showAll="0">
      <items count="5">
        <item x="0"/>
        <item x="1"/>
        <item x="2"/>
        <item x="3"/>
        <item t="default"/>
      </items>
    </pivotField>
    <pivotField numFmtId="164" showAll="0"/>
  </pivotFields>
  <rowFields count="2">
    <field x="4"/>
    <field x="3"/>
  </rowFields>
  <rowItems count="13">
    <i>
      <x/>
    </i>
    <i r="1">
      <x/>
    </i>
    <i r="1">
      <x v="1"/>
    </i>
    <i r="1">
      <x v="2"/>
    </i>
    <i>
      <x v="1"/>
    </i>
    <i r="1">
      <x/>
    </i>
    <i r="1">
      <x v="1"/>
    </i>
    <i r="1">
      <x v="2"/>
    </i>
    <i>
      <x v="2"/>
    </i>
    <i r="1">
      <x/>
    </i>
    <i r="1">
      <x v="1"/>
    </i>
    <i r="1">
      <x v="2"/>
    </i>
    <i t="grand">
      <x/>
    </i>
  </rowItems>
  <colItems count="1">
    <i/>
  </colItems>
  <dataFields count="1">
    <dataField name="Sum of No. of item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3FDCDE-A8E6-41D1-AF66-5C4E268CD3E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6" firstHeaderRow="0" firstDataRow="1" firstDataCol="1"/>
  <pivotFields count="7">
    <pivotField axis="axisRow" numFmtId="16"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items count="7">
        <item x="2"/>
        <item x="3"/>
        <item x="4"/>
        <item x="5"/>
        <item x="0"/>
        <item x="1"/>
        <item t="default"/>
      </items>
    </pivotField>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dataField="1" multipleItemSelectionAllowed="1" showAll="0">
      <items count="4">
        <item x="2"/>
        <item x="1"/>
        <item x="0"/>
        <item t="default"/>
      </items>
    </pivotField>
    <pivotField dataField="1" showAll="0">
      <items count="4">
        <item x="2"/>
        <item x="0"/>
        <item x="1"/>
        <item t="default"/>
      </items>
    </pivotField>
    <pivotField dataField="1" showAll="0">
      <items count="5">
        <item x="0"/>
        <item x="1"/>
        <item x="2"/>
        <item x="3"/>
        <item t="default"/>
      </items>
    </pivotField>
    <pivotField dataField="1" numFmtId="164" showAll="0">
      <items count="24">
        <item x="15"/>
        <item x="3"/>
        <item x="2"/>
        <item x="17"/>
        <item x="1"/>
        <item x="4"/>
        <item x="7"/>
        <item x="0"/>
        <item x="5"/>
        <item x="8"/>
        <item x="22"/>
        <item x="12"/>
        <item x="11"/>
        <item x="6"/>
        <item x="9"/>
        <item x="19"/>
        <item x="18"/>
        <item x="10"/>
        <item x="20"/>
        <item x="13"/>
        <item x="21"/>
        <item x="16"/>
        <item x="14"/>
        <item t="default"/>
      </items>
    </pivotField>
  </pivotFields>
  <rowFields count="2">
    <field x="0"/>
    <field x="1"/>
  </rowFields>
  <rowItems count="53">
    <i>
      <x/>
    </i>
    <i r="1">
      <x v="4"/>
    </i>
    <i>
      <x v="1"/>
    </i>
    <i r="1">
      <x v="5"/>
    </i>
    <i>
      <x v="2"/>
    </i>
    <i r="1">
      <x/>
    </i>
    <i>
      <x v="3"/>
    </i>
    <i r="1">
      <x v="1"/>
    </i>
    <i>
      <x v="4"/>
    </i>
    <i r="1">
      <x v="2"/>
    </i>
    <i>
      <x v="5"/>
    </i>
    <i r="1">
      <x v="3"/>
    </i>
    <i>
      <x v="6"/>
    </i>
    <i r="1">
      <x v="4"/>
    </i>
    <i>
      <x v="7"/>
    </i>
    <i r="1">
      <x v="5"/>
    </i>
    <i>
      <x v="8"/>
    </i>
    <i r="1">
      <x/>
    </i>
    <i>
      <x v="9"/>
    </i>
    <i r="1">
      <x v="1"/>
    </i>
    <i>
      <x v="10"/>
    </i>
    <i r="1">
      <x v="2"/>
    </i>
    <i>
      <x v="11"/>
    </i>
    <i r="1">
      <x v="3"/>
    </i>
    <i>
      <x v="12"/>
    </i>
    <i r="1">
      <x v="4"/>
    </i>
    <i>
      <x v="13"/>
    </i>
    <i r="1">
      <x v="5"/>
    </i>
    <i>
      <x v="14"/>
    </i>
    <i r="1">
      <x/>
    </i>
    <i>
      <x v="15"/>
    </i>
    <i r="1">
      <x v="1"/>
    </i>
    <i>
      <x v="16"/>
    </i>
    <i r="1">
      <x v="2"/>
    </i>
    <i>
      <x v="17"/>
    </i>
    <i r="1">
      <x v="3"/>
    </i>
    <i>
      <x v="18"/>
    </i>
    <i r="1">
      <x v="4"/>
    </i>
    <i>
      <x v="19"/>
    </i>
    <i r="1">
      <x v="5"/>
    </i>
    <i>
      <x v="20"/>
    </i>
    <i r="1">
      <x/>
    </i>
    <i>
      <x v="21"/>
    </i>
    <i r="1">
      <x v="1"/>
    </i>
    <i>
      <x v="22"/>
    </i>
    <i r="1">
      <x v="2"/>
    </i>
    <i>
      <x v="23"/>
    </i>
    <i r="1">
      <x v="3"/>
    </i>
    <i>
      <x v="24"/>
    </i>
    <i r="1">
      <x v="4"/>
    </i>
    <i>
      <x v="25"/>
    </i>
    <i r="1">
      <x v="5"/>
    </i>
    <i t="grand">
      <x/>
    </i>
  </rowItems>
  <colFields count="1">
    <field x="-2"/>
  </colFields>
  <colItems count="4">
    <i>
      <x/>
    </i>
    <i i="1">
      <x v="1"/>
    </i>
    <i i="2">
      <x v="2"/>
    </i>
    <i i="3">
      <x v="3"/>
    </i>
  </colItems>
  <dataFields count="4">
    <dataField name="Count of salesperson" fld="3" subtotal="count" baseField="0" baseItem="0"/>
    <dataField name="Sum of No. of items" fld="5" baseField="0" baseItem="0"/>
    <dataField name="Sum of Sales amount" fld="6" baseField="0" baseItem="0" numFmtId="164"/>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EC68AF-D3F9-4D08-86A5-524B4189089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86" firstHeaderRow="0" firstDataRow="1" firstDataCol="1"/>
  <pivotFields count="7">
    <pivotField axis="axisRow" numFmtId="16"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items count="7">
        <item x="2"/>
        <item x="3"/>
        <item x="4"/>
        <item x="5"/>
        <item x="0"/>
        <item x="1"/>
        <item t="default"/>
      </items>
    </pivotField>
    <pivotField showAll="0"/>
    <pivotField axis="axisRow" showAll="0">
      <items count="4">
        <item x="2"/>
        <item x="1"/>
        <item x="0"/>
        <item t="default"/>
      </items>
    </pivotField>
    <pivotField axis="axisRow" showAll="0">
      <items count="4">
        <item x="2"/>
        <item x="0"/>
        <item x="1"/>
        <item t="default"/>
      </items>
    </pivotField>
    <pivotField dataField="1" showAll="0"/>
    <pivotField dataField="1" numFmtId="164" showAll="0"/>
  </pivotFields>
  <rowFields count="4">
    <field x="0"/>
    <field x="1"/>
    <field x="3"/>
    <field x="4"/>
  </rowFields>
  <rowItems count="183">
    <i>
      <x/>
    </i>
    <i r="1">
      <x v="4"/>
    </i>
    <i r="2">
      <x/>
    </i>
    <i r="3">
      <x v="2"/>
    </i>
    <i r="2">
      <x v="1"/>
    </i>
    <i r="3">
      <x v="1"/>
    </i>
    <i r="2">
      <x v="2"/>
    </i>
    <i r="3">
      <x v="1"/>
    </i>
    <i>
      <x v="1"/>
    </i>
    <i r="1">
      <x v="5"/>
    </i>
    <i r="2">
      <x v="1"/>
    </i>
    <i r="3">
      <x/>
    </i>
    <i r="2">
      <x v="2"/>
    </i>
    <i r="3">
      <x/>
    </i>
    <i r="3">
      <x v="1"/>
    </i>
    <i>
      <x v="2"/>
    </i>
    <i r="1">
      <x/>
    </i>
    <i r="2">
      <x/>
    </i>
    <i r="3">
      <x v="1"/>
    </i>
    <i r="3">
      <x v="2"/>
    </i>
    <i r="2">
      <x v="1"/>
    </i>
    <i r="3">
      <x v="1"/>
    </i>
    <i>
      <x v="3"/>
    </i>
    <i r="1">
      <x v="1"/>
    </i>
    <i r="2">
      <x v="1"/>
    </i>
    <i r="3">
      <x/>
    </i>
    <i r="3">
      <x v="1"/>
    </i>
    <i>
      <x v="4"/>
    </i>
    <i r="1">
      <x v="2"/>
    </i>
    <i r="2">
      <x v="2"/>
    </i>
    <i r="3">
      <x v="1"/>
    </i>
    <i r="3">
      <x v="2"/>
    </i>
    <i>
      <x v="5"/>
    </i>
    <i r="1">
      <x v="3"/>
    </i>
    <i r="2">
      <x/>
    </i>
    <i r="3">
      <x v="1"/>
    </i>
    <i r="3">
      <x v="2"/>
    </i>
    <i r="2">
      <x v="1"/>
    </i>
    <i r="3">
      <x v="1"/>
    </i>
    <i>
      <x v="6"/>
    </i>
    <i r="1">
      <x v="4"/>
    </i>
    <i r="2">
      <x v="1"/>
    </i>
    <i r="3">
      <x v="1"/>
    </i>
    <i r="3">
      <x v="2"/>
    </i>
    <i r="2">
      <x v="2"/>
    </i>
    <i r="3">
      <x/>
    </i>
    <i>
      <x v="7"/>
    </i>
    <i r="1">
      <x v="5"/>
    </i>
    <i r="2">
      <x/>
    </i>
    <i r="3">
      <x v="2"/>
    </i>
    <i r="2">
      <x v="1"/>
    </i>
    <i r="3">
      <x v="1"/>
    </i>
    <i>
      <x v="8"/>
    </i>
    <i r="1">
      <x/>
    </i>
    <i r="2">
      <x/>
    </i>
    <i r="3">
      <x/>
    </i>
    <i r="2">
      <x v="1"/>
    </i>
    <i r="3">
      <x v="1"/>
    </i>
    <i r="2">
      <x v="2"/>
    </i>
    <i r="3">
      <x/>
    </i>
    <i>
      <x v="9"/>
    </i>
    <i r="1">
      <x v="1"/>
    </i>
    <i r="2">
      <x v="1"/>
    </i>
    <i r="3">
      <x v="2"/>
    </i>
    <i r="2">
      <x v="2"/>
    </i>
    <i r="3">
      <x v="1"/>
    </i>
    <i>
      <x v="10"/>
    </i>
    <i r="1">
      <x v="2"/>
    </i>
    <i r="2">
      <x/>
    </i>
    <i r="3">
      <x v="1"/>
    </i>
    <i r="3">
      <x v="2"/>
    </i>
    <i>
      <x v="11"/>
    </i>
    <i r="1">
      <x v="3"/>
    </i>
    <i r="2">
      <x v="1"/>
    </i>
    <i r="3">
      <x v="2"/>
    </i>
    <i r="2">
      <x v="2"/>
    </i>
    <i r="3">
      <x/>
    </i>
    <i>
      <x v="12"/>
    </i>
    <i r="1">
      <x v="4"/>
    </i>
    <i r="2">
      <x/>
    </i>
    <i r="3">
      <x/>
    </i>
    <i r="3">
      <x v="1"/>
    </i>
    <i r="3">
      <x v="2"/>
    </i>
    <i r="2">
      <x v="1"/>
    </i>
    <i r="3">
      <x v="1"/>
    </i>
    <i>
      <x v="13"/>
    </i>
    <i r="1">
      <x v="5"/>
    </i>
    <i r="2">
      <x v="1"/>
    </i>
    <i r="3">
      <x v="1"/>
    </i>
    <i r="3">
      <x v="2"/>
    </i>
    <i r="2">
      <x v="2"/>
    </i>
    <i r="3">
      <x/>
    </i>
    <i r="3">
      <x v="1"/>
    </i>
    <i>
      <x v="14"/>
    </i>
    <i r="1">
      <x/>
    </i>
    <i r="2">
      <x/>
    </i>
    <i r="3">
      <x v="1"/>
    </i>
    <i r="2">
      <x v="1"/>
    </i>
    <i r="3">
      <x v="2"/>
    </i>
    <i>
      <x v="15"/>
    </i>
    <i r="1">
      <x v="1"/>
    </i>
    <i r="2">
      <x/>
    </i>
    <i r="3">
      <x v="1"/>
    </i>
    <i r="2">
      <x v="1"/>
    </i>
    <i r="3">
      <x/>
    </i>
    <i r="2">
      <x v="2"/>
    </i>
    <i r="3">
      <x v="1"/>
    </i>
    <i>
      <x v="16"/>
    </i>
    <i r="1">
      <x v="2"/>
    </i>
    <i r="2">
      <x/>
    </i>
    <i r="3">
      <x/>
    </i>
    <i r="2">
      <x v="1"/>
    </i>
    <i r="3">
      <x v="1"/>
    </i>
    <i r="3">
      <x v="2"/>
    </i>
    <i r="2">
      <x v="2"/>
    </i>
    <i r="3">
      <x v="1"/>
    </i>
    <i>
      <x v="17"/>
    </i>
    <i r="1">
      <x v="3"/>
    </i>
    <i r="2">
      <x/>
    </i>
    <i r="3">
      <x v="1"/>
    </i>
    <i r="3">
      <x v="2"/>
    </i>
    <i r="2">
      <x v="2"/>
    </i>
    <i r="3">
      <x v="2"/>
    </i>
    <i>
      <x v="18"/>
    </i>
    <i r="1">
      <x v="4"/>
    </i>
    <i r="2">
      <x/>
    </i>
    <i r="3">
      <x v="2"/>
    </i>
    <i r="2">
      <x v="1"/>
    </i>
    <i r="3">
      <x v="2"/>
    </i>
    <i r="2">
      <x v="2"/>
    </i>
    <i r="3">
      <x v="1"/>
    </i>
    <i r="3">
      <x v="2"/>
    </i>
    <i>
      <x v="19"/>
    </i>
    <i r="1">
      <x v="5"/>
    </i>
    <i r="2">
      <x/>
    </i>
    <i r="3">
      <x v="1"/>
    </i>
    <i r="3">
      <x v="2"/>
    </i>
    <i r="2">
      <x v="1"/>
    </i>
    <i r="3">
      <x/>
    </i>
    <i r="3">
      <x v="1"/>
    </i>
    <i r="2">
      <x v="2"/>
    </i>
    <i r="3">
      <x/>
    </i>
    <i>
      <x v="20"/>
    </i>
    <i r="1">
      <x/>
    </i>
    <i r="2">
      <x v="1"/>
    </i>
    <i r="3">
      <x v="1"/>
    </i>
    <i r="2">
      <x v="2"/>
    </i>
    <i r="3">
      <x v="1"/>
    </i>
    <i>
      <x v="21"/>
    </i>
    <i r="1">
      <x v="1"/>
    </i>
    <i r="2">
      <x/>
    </i>
    <i r="3">
      <x v="2"/>
    </i>
    <i r="2">
      <x v="1"/>
    </i>
    <i r="3">
      <x/>
    </i>
    <i>
      <x v="22"/>
    </i>
    <i r="1">
      <x v="2"/>
    </i>
    <i r="2">
      <x/>
    </i>
    <i r="3">
      <x/>
    </i>
    <i r="2">
      <x v="2"/>
    </i>
    <i r="3">
      <x v="1"/>
    </i>
    <i>
      <x v="23"/>
    </i>
    <i r="1">
      <x v="3"/>
    </i>
    <i r="2">
      <x/>
    </i>
    <i r="3">
      <x v="2"/>
    </i>
    <i r="2">
      <x v="2"/>
    </i>
    <i r="3">
      <x v="1"/>
    </i>
    <i>
      <x v="24"/>
    </i>
    <i r="1">
      <x v="4"/>
    </i>
    <i r="2">
      <x/>
    </i>
    <i r="3">
      <x/>
    </i>
    <i r="2">
      <x v="1"/>
    </i>
    <i r="3">
      <x/>
    </i>
    <i r="3">
      <x v="1"/>
    </i>
    <i>
      <x v="25"/>
    </i>
    <i r="1">
      <x v="5"/>
    </i>
    <i r="2">
      <x/>
    </i>
    <i r="3">
      <x v="2"/>
    </i>
    <i r="2">
      <x v="1"/>
    </i>
    <i r="3">
      <x v="1"/>
    </i>
    <i r="3">
      <x v="2"/>
    </i>
    <i r="2">
      <x v="2"/>
    </i>
    <i r="3">
      <x v="1"/>
    </i>
    <i t="grand">
      <x/>
    </i>
  </rowItems>
  <colFields count="1">
    <field x="-2"/>
  </colFields>
  <colItems count="2">
    <i>
      <x/>
    </i>
    <i i="1">
      <x v="1"/>
    </i>
  </colItems>
  <dataFields count="2">
    <dataField name="Sum of Sales amount" fld="6" baseField="0" baseItem="0" numFmtId="164"/>
    <dataField name="Sum of No. of item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3499D3-D4A3-4434-8E1D-4FCFFEF8337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D16" firstHeaderRow="0" firstDataRow="1" firstDataCol="1"/>
  <pivotFields count="7">
    <pivotField numFmtId="16" showAll="0"/>
    <pivotField showAll="0"/>
    <pivotField showAll="0"/>
    <pivotField showAll="0"/>
    <pivotField axis="axisRow" showAll="0">
      <items count="4">
        <item x="2"/>
        <item x="0"/>
        <item x="1"/>
        <item t="default"/>
      </items>
    </pivotField>
    <pivotField showAll="0"/>
    <pivotField dataField="1" numFmtId="164" showAll="0"/>
  </pivotFields>
  <rowFields count="1">
    <field x="4"/>
  </rowFields>
  <rowItems count="4">
    <i>
      <x/>
    </i>
    <i>
      <x v="1"/>
    </i>
    <i>
      <x v="2"/>
    </i>
    <i t="grand">
      <x/>
    </i>
  </rowItems>
  <colFields count="1">
    <field x="-2"/>
  </colFields>
  <colItems count="2">
    <i>
      <x/>
    </i>
    <i i="1">
      <x v="1"/>
    </i>
  </colItems>
  <dataFields count="2">
    <dataField name="Sum of Sales amount" fld="6" baseField="0" baseItem="0" numFmtId="164"/>
    <dataField name="Sum of Sales amount2" fld="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78F896-DFDC-4FE2-80CA-DB4190FEFFB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S">
  <location ref="A3:C7" firstHeaderRow="0" firstDataRow="1" firstDataCol="1"/>
  <pivotFields count="7">
    <pivotField numFmtId="16" showAll="0"/>
    <pivotField showAll="0"/>
    <pivotField showAll="0"/>
    <pivotField axis="axisRow" showAll="0">
      <items count="4">
        <item x="2"/>
        <item x="1"/>
        <item x="0"/>
        <item t="default"/>
      </items>
    </pivotField>
    <pivotField showAll="0"/>
    <pivotField showAll="0"/>
    <pivotField dataField="1" numFmtId="164" showAll="0"/>
  </pivotFields>
  <rowFields count="1">
    <field x="3"/>
  </rowFields>
  <rowItems count="4">
    <i>
      <x/>
    </i>
    <i>
      <x v="1"/>
    </i>
    <i>
      <x v="2"/>
    </i>
    <i t="grand">
      <x/>
    </i>
  </rowItems>
  <colFields count="1">
    <field x="-2"/>
  </colFields>
  <colItems count="2">
    <i>
      <x/>
    </i>
    <i i="1">
      <x v="1"/>
    </i>
  </colItems>
  <dataFields count="2">
    <dataField name="TOTAL SALES" fld="6" baseField="3" baseItem="0" numFmtId="164"/>
    <dataField name="PERCENTAGE" fld="6" subtotal="average"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FC1128-B07B-445D-86E8-5128C9EF40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D28" firstHeaderRow="0" firstDataRow="1" firstDataCol="1"/>
  <pivotFields count="7">
    <pivotField numFmtId="16" showAll="0"/>
    <pivotField axis="axisRow" showAll="0">
      <items count="7">
        <item x="2"/>
        <item x="3"/>
        <item x="4"/>
        <item x="5"/>
        <item x="0"/>
        <item x="1"/>
        <item t="default"/>
      </items>
    </pivotField>
    <pivotField showAll="0"/>
    <pivotField showAll="0"/>
    <pivotField showAll="0"/>
    <pivotField showAll="0"/>
    <pivotField dataField="1" numFmtId="164" showAll="0"/>
  </pivotFields>
  <rowFields count="1">
    <field x="1"/>
  </rowFields>
  <rowItems count="7">
    <i>
      <x/>
    </i>
    <i>
      <x v="1"/>
    </i>
    <i>
      <x v="2"/>
    </i>
    <i>
      <x v="3"/>
    </i>
    <i>
      <x v="4"/>
    </i>
    <i>
      <x v="5"/>
    </i>
    <i t="grand">
      <x/>
    </i>
  </rowItems>
  <colFields count="1">
    <field x="-2"/>
  </colFields>
  <colItems count="2">
    <i>
      <x/>
    </i>
    <i i="1">
      <x v="1"/>
    </i>
  </colItems>
  <dataFields count="2">
    <dataField name="Sum of Sales amount" fld="6" baseField="0" baseItem="0" numFmtId="164"/>
    <dataField name="Sum of Sales amount2" fld="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600D2A-5B06-4359-A419-D6E8456C08E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91" firstHeaderRow="1" firstDataRow="2" firstDataCol="1"/>
  <pivotFields count="7">
    <pivotField axis="axisRow" numFmtId="16"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Col" showAll="0">
      <items count="7">
        <item x="2"/>
        <item x="3"/>
        <item x="4"/>
        <item x="5"/>
        <item x="0"/>
        <item x="1"/>
        <item t="default"/>
      </items>
    </pivotField>
    <pivotField showAll="0"/>
    <pivotField axis="axisRow" showAll="0">
      <items count="4">
        <item x="2"/>
        <item x="1"/>
        <item x="0"/>
        <item t="default"/>
      </items>
    </pivotField>
    <pivotField axis="axisRow" showAll="0">
      <items count="4">
        <item x="2"/>
        <item x="0"/>
        <item x="1"/>
        <item t="default"/>
      </items>
    </pivotField>
    <pivotField showAll="0"/>
    <pivotField dataField="1" numFmtId="164" showAll="0">
      <items count="24">
        <item x="15"/>
        <item x="3"/>
        <item x="2"/>
        <item x="17"/>
        <item x="1"/>
        <item x="4"/>
        <item x="7"/>
        <item x="0"/>
        <item x="5"/>
        <item x="8"/>
        <item x="22"/>
        <item x="12"/>
        <item x="11"/>
        <item x="6"/>
        <item x="9"/>
        <item x="19"/>
        <item x="18"/>
        <item x="10"/>
        <item x="20"/>
        <item x="13"/>
        <item x="21"/>
        <item x="16"/>
        <item x="14"/>
        <item t="default"/>
      </items>
    </pivotField>
  </pivotFields>
  <rowFields count="3">
    <field x="3"/>
    <field x="4"/>
    <field x="0"/>
  </rowFields>
  <rowItems count="87">
    <i>
      <x/>
    </i>
    <i r="1">
      <x/>
    </i>
    <i r="2">
      <x v="8"/>
    </i>
    <i r="2">
      <x v="12"/>
    </i>
    <i r="2">
      <x v="16"/>
    </i>
    <i r="2">
      <x v="22"/>
    </i>
    <i r="2">
      <x v="24"/>
    </i>
    <i r="1">
      <x v="1"/>
    </i>
    <i r="2">
      <x v="2"/>
    </i>
    <i r="2">
      <x v="5"/>
    </i>
    <i r="2">
      <x v="10"/>
    </i>
    <i r="2">
      <x v="12"/>
    </i>
    <i r="2">
      <x v="14"/>
    </i>
    <i r="2">
      <x v="15"/>
    </i>
    <i r="2">
      <x v="17"/>
    </i>
    <i r="2">
      <x v="19"/>
    </i>
    <i r="1">
      <x v="2"/>
    </i>
    <i r="2">
      <x/>
    </i>
    <i r="2">
      <x v="2"/>
    </i>
    <i r="2">
      <x v="5"/>
    </i>
    <i r="2">
      <x v="7"/>
    </i>
    <i r="2">
      <x v="10"/>
    </i>
    <i r="2">
      <x v="12"/>
    </i>
    <i r="2">
      <x v="17"/>
    </i>
    <i r="2">
      <x v="18"/>
    </i>
    <i r="2">
      <x v="19"/>
    </i>
    <i r="2">
      <x v="21"/>
    </i>
    <i r="2">
      <x v="23"/>
    </i>
    <i r="2">
      <x v="25"/>
    </i>
    <i>
      <x v="1"/>
    </i>
    <i r="1">
      <x/>
    </i>
    <i r="2">
      <x v="1"/>
    </i>
    <i r="2">
      <x v="3"/>
    </i>
    <i r="2">
      <x v="15"/>
    </i>
    <i r="2">
      <x v="19"/>
    </i>
    <i r="2">
      <x v="21"/>
    </i>
    <i r="2">
      <x v="24"/>
    </i>
    <i r="1">
      <x v="1"/>
    </i>
    <i r="2">
      <x/>
    </i>
    <i r="2">
      <x v="2"/>
    </i>
    <i r="2">
      <x v="3"/>
    </i>
    <i r="2">
      <x v="5"/>
    </i>
    <i r="2">
      <x v="6"/>
    </i>
    <i r="2">
      <x v="7"/>
    </i>
    <i r="2">
      <x v="8"/>
    </i>
    <i r="2">
      <x v="12"/>
    </i>
    <i r="2">
      <x v="13"/>
    </i>
    <i r="2">
      <x v="16"/>
    </i>
    <i r="2">
      <x v="19"/>
    </i>
    <i r="2">
      <x v="20"/>
    </i>
    <i r="2">
      <x v="24"/>
    </i>
    <i r="2">
      <x v="25"/>
    </i>
    <i r="1">
      <x v="2"/>
    </i>
    <i r="2">
      <x v="6"/>
    </i>
    <i r="2">
      <x v="9"/>
    </i>
    <i r="2">
      <x v="11"/>
    </i>
    <i r="2">
      <x v="13"/>
    </i>
    <i r="2">
      <x v="14"/>
    </i>
    <i r="2">
      <x v="16"/>
    </i>
    <i r="2">
      <x v="18"/>
    </i>
    <i r="2">
      <x v="25"/>
    </i>
    <i>
      <x v="2"/>
    </i>
    <i r="1">
      <x/>
    </i>
    <i r="2">
      <x v="1"/>
    </i>
    <i r="2">
      <x v="6"/>
    </i>
    <i r="2">
      <x v="8"/>
    </i>
    <i r="2">
      <x v="11"/>
    </i>
    <i r="2">
      <x v="13"/>
    </i>
    <i r="2">
      <x v="19"/>
    </i>
    <i r="1">
      <x v="1"/>
    </i>
    <i r="2">
      <x/>
    </i>
    <i r="2">
      <x v="1"/>
    </i>
    <i r="2">
      <x v="4"/>
    </i>
    <i r="2">
      <x v="9"/>
    </i>
    <i r="2">
      <x v="13"/>
    </i>
    <i r="2">
      <x v="15"/>
    </i>
    <i r="2">
      <x v="16"/>
    </i>
    <i r="2">
      <x v="18"/>
    </i>
    <i r="2">
      <x v="20"/>
    </i>
    <i r="2">
      <x v="22"/>
    </i>
    <i r="2">
      <x v="23"/>
    </i>
    <i r="2">
      <x v="25"/>
    </i>
    <i r="1">
      <x v="2"/>
    </i>
    <i r="2">
      <x v="4"/>
    </i>
    <i r="2">
      <x v="17"/>
    </i>
    <i r="2">
      <x v="18"/>
    </i>
    <i t="grand">
      <x/>
    </i>
  </rowItems>
  <colFields count="1">
    <field x="1"/>
  </colFields>
  <colItems count="7">
    <i>
      <x/>
    </i>
    <i>
      <x v="1"/>
    </i>
    <i>
      <x v="2"/>
    </i>
    <i>
      <x v="3"/>
    </i>
    <i>
      <x v="4"/>
    </i>
    <i>
      <x v="5"/>
    </i>
    <i t="grand">
      <x/>
    </i>
  </colItems>
  <dataFields count="1">
    <dataField name="Sum of Sales amount"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FF4037-7DB3-4A54-8C9A-4387305B2D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H8" firstHeaderRow="1" firstDataRow="2" firstDataCol="1"/>
  <pivotFields count="7">
    <pivotField numFmtId="16" showAll="0"/>
    <pivotField axis="axisCol" showAll="0">
      <items count="7">
        <item x="2"/>
        <item x="3"/>
        <item x="4"/>
        <item x="5"/>
        <item x="0"/>
        <item x="1"/>
        <item t="default"/>
      </items>
    </pivotField>
    <pivotField showAll="0"/>
    <pivotField axis="axisRow" showAll="0">
      <items count="4">
        <item x="2"/>
        <item x="1"/>
        <item x="0"/>
        <item t="default"/>
      </items>
    </pivotField>
    <pivotField showAll="0"/>
    <pivotField showAll="0"/>
    <pivotField dataField="1" numFmtId="164" showAll="0"/>
  </pivotFields>
  <rowFields count="1">
    <field x="3"/>
  </rowFields>
  <rowItems count="4">
    <i>
      <x/>
    </i>
    <i>
      <x v="1"/>
    </i>
    <i>
      <x v="2"/>
    </i>
    <i t="grand">
      <x/>
    </i>
  </rowItems>
  <colFields count="1">
    <field x="1"/>
  </colFields>
  <colItems count="7">
    <i>
      <x/>
    </i>
    <i>
      <x v="1"/>
    </i>
    <i>
      <x v="2"/>
    </i>
    <i>
      <x v="3"/>
    </i>
    <i>
      <x v="4"/>
    </i>
    <i>
      <x v="5"/>
    </i>
    <i t="grand">
      <x/>
    </i>
  </colItems>
  <dataFields count="1">
    <dataField name="Sum of Sales amount" fld="6" baseField="0" baseItem="0" numFmtId="164"/>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B0B096-2FAB-4F82-8C6F-6F4E6099D3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6" firstHeaderRow="1" firstDataRow="1" firstDataCol="1"/>
  <pivotFields count="7">
    <pivotField numFmtId="16" showAll="0"/>
    <pivotField showAll="0"/>
    <pivotField showAll="0"/>
    <pivotField axis="axisRow" showAll="0">
      <items count="4">
        <item x="2"/>
        <item x="1"/>
        <item x="0"/>
        <item t="default"/>
      </items>
    </pivotField>
    <pivotField axis="axisRow" showAll="0">
      <items count="4">
        <item x="2"/>
        <item x="0"/>
        <item x="1"/>
        <item t="default"/>
      </items>
    </pivotField>
    <pivotField showAll="0"/>
    <pivotField dataField="1" numFmtId="164" showAll="0"/>
  </pivotFields>
  <rowFields count="2">
    <field x="3"/>
    <field x="4"/>
  </rowFields>
  <rowItems count="13">
    <i>
      <x/>
    </i>
    <i r="1">
      <x/>
    </i>
    <i r="1">
      <x v="1"/>
    </i>
    <i r="1">
      <x v="2"/>
    </i>
    <i>
      <x v="1"/>
    </i>
    <i r="1">
      <x/>
    </i>
    <i r="1">
      <x v="1"/>
    </i>
    <i r="1">
      <x v="2"/>
    </i>
    <i>
      <x v="2"/>
    </i>
    <i r="1">
      <x/>
    </i>
    <i r="1">
      <x v="1"/>
    </i>
    <i r="1">
      <x v="2"/>
    </i>
    <i t="grand">
      <x/>
    </i>
  </rowItems>
  <colItems count="1">
    <i/>
  </colItems>
  <dataFields count="1">
    <dataField name="Sum of Sales amount" fld="6"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6CDDFE47-40D1-44AE-A996-E941C607E3C6}" sourceName="Day">
  <pivotTables>
    <pivotTable tabId="16" name="PivotTable1"/>
  </pivotTables>
  <data>
    <tabular pivotCacheId="1517707599">
      <items count="6">
        <i x="2" s="1"/>
        <i x="3" s="1"/>
        <i x="4" s="1"/>
        <i x="5"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FA76F9D-89D1-4E57-90D8-B9DFC27142C1}" sourceName="salesperson">
  <pivotTables>
    <pivotTable tabId="16" name="PivotTable1"/>
  </pivotTables>
  <data>
    <tabular pivotCacheId="151770759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1" xr10:uid="{ED33CB5C-91D9-42B2-BAC4-82BBC8C7F911}" sourceName="Day">
  <pivotTables>
    <pivotTable tabId="15" name="PivotTable2"/>
  </pivotTables>
  <data>
    <tabular pivotCacheId="1517707599">
      <items count="6">
        <i x="2" s="1"/>
        <i x="3" s="1"/>
        <i x="4" s="1"/>
        <i x="5"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3A0B4586-B662-423D-B2C4-DB1A6D6CFB20}" sourceName="salesperson">
  <pivotTables>
    <pivotTable tabId="15" name="PivotTable2"/>
  </pivotTables>
  <data>
    <tabular pivotCacheId="1517707599">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0ED72D60-BF0B-413B-990F-35F9922284FC}" sourceName="Item">
  <pivotTables>
    <pivotTable tabId="15" name="PivotTable2"/>
  </pivotTables>
  <data>
    <tabular pivotCacheId="1517707599">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2" xr10:uid="{90B3AC57-E647-4A44-A62F-8BA6CA5C73C1}" sourceName="salesperson">
  <pivotTables>
    <pivotTable tabId="17" name="PivotTable2"/>
  </pivotTables>
  <data>
    <tabular pivotCacheId="1517707599">
      <items count="3">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B57D78C1-71BD-48FB-B6E0-B47166D8D987}" sourceName="Item">
  <pivotTables>
    <pivotTable tabId="17" name="PivotTable2"/>
  </pivotTables>
  <data>
    <tabular pivotCacheId="151770759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29C3BB84-1EA7-44D0-9F2B-B2B623F795E0}" cache="Slicer_Day1" caption="Day" rowHeight="257175"/>
  <slicer name="salesperson 1" xr10:uid="{6C94EBB8-8093-4DA6-B671-9BC6F55F740E}" cache="Slicer_salesperson1" caption="salesperson" rowHeight="257175"/>
  <slicer name="Item" xr10:uid="{E1E7019B-2FB3-4F18-8019-8C1E1E70E86C}" cache="Slicer_Item" caption="Item"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4520D6F4-8D74-46F8-929F-E1FA83F0570B}" cache="Slicer_Day" caption="Day" rowHeight="257175"/>
  <slicer name="salesperson" xr10:uid="{0E2EA2CD-92C6-45BE-9ADF-45D9647B11CB}" cache="Slicer_salesperson" caption="salesperson"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2" xr10:uid="{6E407546-3D6A-4891-90C2-901BDACAD47A}" cache="Slicer_salesperson2" caption="salesperson" rowHeight="257175"/>
  <slicer name="Item 1" xr10:uid="{A1C662DD-BC7D-40FC-A581-1BD35B53F3A9}" cache="Slicer_Item1" caption="Item"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305654-806F-7141-BC04-6E097EA39241}" name="Table6" displayName="Table6" ref="B5:H84" headerRowCount="0" totalsRowShown="0" headerRowDxfId="9" dataDxfId="8">
  <tableColumns count="7">
    <tableColumn id="1" xr3:uid="{2AB7DF24-8339-E74B-9F11-39586D28494F}" name="Column1" headerRowDxfId="7" dataDxfId="6"/>
    <tableColumn id="2" xr3:uid="{873BEEF6-C2A0-BE44-8745-12D5181AFD0B}" name="Column2" dataDxfId="5"/>
    <tableColumn id="3" xr3:uid="{F8EED7E8-B40F-4F42-B9C4-909A37D978D7}" name="Column3" dataDxfId="4"/>
    <tableColumn id="4" xr3:uid="{F1389C30-1027-2E49-919F-CB8CE6A1F5E3}" name="Column4" dataDxfId="3"/>
    <tableColumn id="5" xr3:uid="{92C1E390-B288-2847-A65E-FDB7C2D01B56}" name="Column5" dataDxfId="2"/>
    <tableColumn id="6" xr3:uid="{5815D4DD-09E4-F64E-A82D-9C918CB284AB}" name="Column6" dataDxfId="1"/>
    <tableColumn id="7" xr3:uid="{1EEECA33-FF78-7F4E-9598-8508685F3E25}" name="Column7" dataDxfId="0"/>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12B66-7356-7D47-90F1-C2091BD4A817}">
  <dimension ref="B15:K22"/>
  <sheetViews>
    <sheetView zoomScale="79" workbookViewId="0">
      <selection activeCell="O7" sqref="O7"/>
    </sheetView>
  </sheetViews>
  <sheetFormatPr defaultColWidth="11" defaultRowHeight="15.5"/>
  <sheetData>
    <row r="15" spans="2:11">
      <c r="B15" s="2" t="s">
        <v>5</v>
      </c>
      <c r="C15" s="2" t="s">
        <v>9</v>
      </c>
      <c r="D15" s="2"/>
      <c r="E15" s="2"/>
      <c r="F15" s="2"/>
      <c r="G15" s="2"/>
      <c r="H15" s="2"/>
      <c r="I15" s="2"/>
      <c r="J15" s="2"/>
      <c r="K15" s="2"/>
    </row>
    <row r="18" spans="2:10">
      <c r="B18" s="2" t="s">
        <v>10</v>
      </c>
      <c r="E18" s="2" t="s">
        <v>29</v>
      </c>
    </row>
    <row r="19" spans="2:10">
      <c r="J19" s="2" t="s">
        <v>36</v>
      </c>
    </row>
    <row r="20" spans="2:10">
      <c r="B20" t="s">
        <v>6</v>
      </c>
      <c r="C20" t="s">
        <v>30</v>
      </c>
      <c r="E20" t="s">
        <v>33</v>
      </c>
      <c r="J20" t="s">
        <v>37</v>
      </c>
    </row>
    <row r="21" spans="2:10">
      <c r="B21" t="s">
        <v>7</v>
      </c>
      <c r="C21" t="s">
        <v>31</v>
      </c>
      <c r="E21" t="s">
        <v>34</v>
      </c>
      <c r="J21" t="s">
        <v>39</v>
      </c>
    </row>
    <row r="22" spans="2:10">
      <c r="B22" t="s">
        <v>8</v>
      </c>
      <c r="C22" t="s">
        <v>32</v>
      </c>
      <c r="E22" t="s">
        <v>35</v>
      </c>
      <c r="J22" t="s">
        <v>38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E3794-78FD-F04E-99AA-5B8C67BA916E}">
  <dimension ref="B2:H84"/>
  <sheetViews>
    <sheetView topLeftCell="A5" workbookViewId="0">
      <selection activeCell="B5" sqref="B5:H83"/>
    </sheetView>
  </sheetViews>
  <sheetFormatPr defaultColWidth="11" defaultRowHeight="15.5"/>
  <cols>
    <col min="2" max="2" width="10.83203125" customWidth="1"/>
  </cols>
  <sheetData>
    <row r="2" spans="2:8" ht="25">
      <c r="B2" t="s">
        <v>28</v>
      </c>
    </row>
    <row r="3" spans="2:8">
      <c r="B3" t="s">
        <v>25</v>
      </c>
    </row>
    <row r="5" spans="2:8">
      <c r="B5" s="1" t="s">
        <v>0</v>
      </c>
      <c r="C5" s="2" t="s">
        <v>1</v>
      </c>
      <c r="D5" s="2" t="s">
        <v>11</v>
      </c>
      <c r="E5" s="2" t="s">
        <v>12</v>
      </c>
      <c r="F5" s="2" t="s">
        <v>2</v>
      </c>
      <c r="G5" s="2" t="s">
        <v>3</v>
      </c>
      <c r="H5" s="2" t="s">
        <v>4</v>
      </c>
    </row>
    <row r="6" spans="2:8">
      <c r="B6" s="3">
        <v>44743</v>
      </c>
      <c r="C6" t="s">
        <v>15</v>
      </c>
      <c r="D6">
        <v>1</v>
      </c>
      <c r="E6" t="s">
        <v>21</v>
      </c>
      <c r="F6" t="s">
        <v>22</v>
      </c>
      <c r="G6">
        <v>1</v>
      </c>
      <c r="H6" s="4">
        <v>100</v>
      </c>
    </row>
    <row r="7" spans="2:8">
      <c r="B7" s="3">
        <v>44743</v>
      </c>
      <c r="C7" t="s">
        <v>15</v>
      </c>
      <c r="D7">
        <v>2</v>
      </c>
      <c r="E7" t="s">
        <v>19</v>
      </c>
      <c r="F7" t="s">
        <v>22</v>
      </c>
      <c r="G7">
        <v>1</v>
      </c>
      <c r="H7" s="4">
        <v>60</v>
      </c>
    </row>
    <row r="8" spans="2:8">
      <c r="B8" s="3">
        <v>44743</v>
      </c>
      <c r="C8" t="s">
        <v>15</v>
      </c>
      <c r="D8">
        <v>3</v>
      </c>
      <c r="E8" t="s">
        <v>20</v>
      </c>
      <c r="F8" t="s">
        <v>23</v>
      </c>
      <c r="G8">
        <v>1</v>
      </c>
      <c r="H8" s="4">
        <v>50</v>
      </c>
    </row>
    <row r="9" spans="2:8">
      <c r="B9" s="3">
        <v>44744</v>
      </c>
      <c r="C9" t="s">
        <v>16</v>
      </c>
      <c r="D9">
        <v>4</v>
      </c>
      <c r="E9" t="s">
        <v>21</v>
      </c>
      <c r="F9" t="s">
        <v>24</v>
      </c>
      <c r="G9">
        <v>1</v>
      </c>
      <c r="H9" s="4">
        <v>45</v>
      </c>
    </row>
    <row r="10" spans="2:8">
      <c r="B10" s="3">
        <v>44744</v>
      </c>
      <c r="C10" t="s">
        <v>16</v>
      </c>
      <c r="D10">
        <v>4</v>
      </c>
      <c r="E10" t="s">
        <v>21</v>
      </c>
      <c r="F10" t="s">
        <v>22</v>
      </c>
      <c r="G10">
        <v>1</v>
      </c>
      <c r="H10" s="4">
        <v>75</v>
      </c>
    </row>
    <row r="11" spans="2:8">
      <c r="B11" s="3">
        <v>44744</v>
      </c>
      <c r="C11" t="s">
        <v>16</v>
      </c>
      <c r="D11">
        <v>5</v>
      </c>
      <c r="E11" t="s">
        <v>19</v>
      </c>
      <c r="F11" t="s">
        <v>24</v>
      </c>
      <c r="G11">
        <v>2</v>
      </c>
      <c r="H11" s="4">
        <v>110</v>
      </c>
    </row>
    <row r="12" spans="2:8">
      <c r="B12" s="3">
        <v>44746</v>
      </c>
      <c r="C12" t="s">
        <v>13</v>
      </c>
      <c r="D12">
        <v>6</v>
      </c>
      <c r="E12" t="s">
        <v>19</v>
      </c>
      <c r="F12" t="s">
        <v>22</v>
      </c>
      <c r="G12">
        <v>3</v>
      </c>
      <c r="H12" s="4">
        <v>150</v>
      </c>
    </row>
    <row r="13" spans="2:8">
      <c r="B13" s="3">
        <v>44746</v>
      </c>
      <c r="C13" t="s">
        <v>13</v>
      </c>
      <c r="D13">
        <v>7</v>
      </c>
      <c r="E13" t="s">
        <v>20</v>
      </c>
      <c r="F13" t="s">
        <v>22</v>
      </c>
      <c r="G13">
        <v>1</v>
      </c>
      <c r="H13" s="4">
        <v>100</v>
      </c>
    </row>
    <row r="14" spans="2:8">
      <c r="B14" s="3">
        <v>44746</v>
      </c>
      <c r="C14" t="s">
        <v>13</v>
      </c>
      <c r="D14">
        <v>7</v>
      </c>
      <c r="E14" t="s">
        <v>20</v>
      </c>
      <c r="F14" t="s">
        <v>23</v>
      </c>
      <c r="G14">
        <v>1</v>
      </c>
      <c r="H14" s="4">
        <v>50</v>
      </c>
    </row>
    <row r="15" spans="2:8">
      <c r="B15" s="3">
        <v>44746</v>
      </c>
      <c r="C15" t="s">
        <v>13</v>
      </c>
      <c r="D15">
        <v>8</v>
      </c>
      <c r="E15" t="s">
        <v>20</v>
      </c>
      <c r="F15" t="s">
        <v>23</v>
      </c>
      <c r="G15">
        <v>2</v>
      </c>
      <c r="H15" s="4">
        <v>80</v>
      </c>
    </row>
    <row r="16" spans="2:8">
      <c r="B16" s="3">
        <v>44747</v>
      </c>
      <c r="C16" t="s">
        <v>14</v>
      </c>
      <c r="D16">
        <v>9</v>
      </c>
      <c r="E16" t="s">
        <v>19</v>
      </c>
      <c r="F16" t="s">
        <v>22</v>
      </c>
      <c r="G16">
        <v>2</v>
      </c>
      <c r="H16" s="4">
        <v>120</v>
      </c>
    </row>
    <row r="17" spans="2:8">
      <c r="B17" s="3">
        <v>44747</v>
      </c>
      <c r="C17" t="s">
        <v>14</v>
      </c>
      <c r="D17">
        <v>10</v>
      </c>
      <c r="E17" t="s">
        <v>19</v>
      </c>
      <c r="F17" t="s">
        <v>24</v>
      </c>
      <c r="G17">
        <v>3</v>
      </c>
      <c r="H17" s="4">
        <v>120</v>
      </c>
    </row>
    <row r="18" spans="2:8">
      <c r="B18" s="3">
        <v>44748</v>
      </c>
      <c r="C18" t="s">
        <v>17</v>
      </c>
      <c r="D18">
        <v>11</v>
      </c>
      <c r="E18" t="s">
        <v>21</v>
      </c>
      <c r="F18" t="s">
        <v>22</v>
      </c>
      <c r="G18">
        <v>2</v>
      </c>
      <c r="H18" s="4">
        <v>150</v>
      </c>
    </row>
    <row r="19" spans="2:8">
      <c r="B19" s="3">
        <v>44748</v>
      </c>
      <c r="C19" t="s">
        <v>17</v>
      </c>
      <c r="D19">
        <v>12</v>
      </c>
      <c r="E19" t="s">
        <v>21</v>
      </c>
      <c r="F19" t="s">
        <v>23</v>
      </c>
      <c r="G19">
        <v>3</v>
      </c>
      <c r="H19" s="4">
        <v>150</v>
      </c>
    </row>
    <row r="20" spans="2:8">
      <c r="B20" s="3">
        <v>44749</v>
      </c>
      <c r="C20" t="s">
        <v>18</v>
      </c>
      <c r="D20">
        <v>13</v>
      </c>
      <c r="E20" t="s">
        <v>20</v>
      </c>
      <c r="F20" t="s">
        <v>23</v>
      </c>
      <c r="G20">
        <v>2</v>
      </c>
      <c r="H20" s="4">
        <v>200</v>
      </c>
    </row>
    <row r="21" spans="2:8">
      <c r="B21" s="3">
        <v>44749</v>
      </c>
      <c r="C21" t="s">
        <v>18</v>
      </c>
      <c r="D21">
        <v>13</v>
      </c>
      <c r="E21" t="s">
        <v>20</v>
      </c>
      <c r="F21" t="s">
        <v>22</v>
      </c>
      <c r="G21">
        <v>1</v>
      </c>
      <c r="H21" s="4">
        <v>150</v>
      </c>
    </row>
    <row r="22" spans="2:8">
      <c r="B22" s="3">
        <v>44749</v>
      </c>
      <c r="C22" t="s">
        <v>18</v>
      </c>
      <c r="D22">
        <v>14</v>
      </c>
      <c r="E22" t="s">
        <v>19</v>
      </c>
      <c r="F22" t="s">
        <v>22</v>
      </c>
      <c r="G22">
        <v>1</v>
      </c>
      <c r="H22" s="4">
        <v>150</v>
      </c>
    </row>
    <row r="23" spans="2:8">
      <c r="B23" s="3">
        <v>44750</v>
      </c>
      <c r="C23" t="s">
        <v>15</v>
      </c>
      <c r="D23">
        <v>15</v>
      </c>
      <c r="E23" t="s">
        <v>19</v>
      </c>
      <c r="F23" t="s">
        <v>23</v>
      </c>
      <c r="G23">
        <v>4</v>
      </c>
      <c r="H23" s="4">
        <v>200</v>
      </c>
    </row>
    <row r="24" spans="2:8">
      <c r="B24" s="3">
        <v>44750</v>
      </c>
      <c r="C24" t="s">
        <v>15</v>
      </c>
      <c r="D24">
        <v>16</v>
      </c>
      <c r="E24" t="s">
        <v>21</v>
      </c>
      <c r="F24" t="s">
        <v>24</v>
      </c>
      <c r="G24">
        <v>2</v>
      </c>
      <c r="H24" s="4">
        <v>100</v>
      </c>
    </row>
    <row r="25" spans="2:8">
      <c r="B25" s="3">
        <v>44750</v>
      </c>
      <c r="C25" t="s">
        <v>15</v>
      </c>
      <c r="D25">
        <v>17</v>
      </c>
      <c r="E25" t="s">
        <v>19</v>
      </c>
      <c r="F25" t="s">
        <v>22</v>
      </c>
      <c r="G25">
        <v>1</v>
      </c>
      <c r="H25" s="4">
        <v>250</v>
      </c>
    </row>
    <row r="26" spans="2:8">
      <c r="B26" s="3">
        <v>44751</v>
      </c>
      <c r="C26" t="s">
        <v>16</v>
      </c>
      <c r="D26">
        <v>18</v>
      </c>
      <c r="E26" t="s">
        <v>19</v>
      </c>
      <c r="F26" t="s">
        <v>22</v>
      </c>
      <c r="G26">
        <v>1</v>
      </c>
      <c r="H26" s="4">
        <v>140</v>
      </c>
    </row>
    <row r="27" spans="2:8">
      <c r="B27" s="3">
        <v>44751</v>
      </c>
      <c r="C27" t="s">
        <v>16</v>
      </c>
      <c r="D27">
        <v>19</v>
      </c>
      <c r="E27" t="s">
        <v>20</v>
      </c>
      <c r="F27" t="s">
        <v>23</v>
      </c>
      <c r="G27">
        <v>2</v>
      </c>
      <c r="H27" s="4">
        <v>110</v>
      </c>
    </row>
    <row r="28" spans="2:8">
      <c r="B28" s="3">
        <v>44753</v>
      </c>
      <c r="C28" t="s">
        <v>13</v>
      </c>
      <c r="D28">
        <v>20</v>
      </c>
      <c r="E28" t="s">
        <v>21</v>
      </c>
      <c r="F28" t="s">
        <v>24</v>
      </c>
      <c r="G28">
        <v>2</v>
      </c>
      <c r="H28" s="4">
        <v>130</v>
      </c>
    </row>
    <row r="29" spans="2:8">
      <c r="B29" s="3">
        <v>44753</v>
      </c>
      <c r="C29" t="s">
        <v>13</v>
      </c>
      <c r="D29">
        <v>21</v>
      </c>
      <c r="E29" t="s">
        <v>20</v>
      </c>
      <c r="F29" t="s">
        <v>24</v>
      </c>
      <c r="G29">
        <v>2</v>
      </c>
      <c r="H29" s="4">
        <v>130</v>
      </c>
    </row>
    <row r="30" spans="2:8">
      <c r="B30" s="3">
        <v>44753</v>
      </c>
      <c r="C30" t="s">
        <v>13</v>
      </c>
      <c r="D30">
        <v>22</v>
      </c>
      <c r="E30" t="s">
        <v>19</v>
      </c>
      <c r="F30" t="s">
        <v>22</v>
      </c>
      <c r="G30">
        <v>3</v>
      </c>
      <c r="H30" s="4">
        <v>300</v>
      </c>
    </row>
    <row r="31" spans="2:8">
      <c r="B31" s="3">
        <v>44754</v>
      </c>
      <c r="C31" t="s">
        <v>14</v>
      </c>
      <c r="D31">
        <v>23</v>
      </c>
      <c r="E31" t="s">
        <v>19</v>
      </c>
      <c r="F31" t="s">
        <v>23</v>
      </c>
      <c r="G31">
        <v>2</v>
      </c>
      <c r="H31" s="4">
        <v>200</v>
      </c>
    </row>
    <row r="32" spans="2:8">
      <c r="B32" s="3">
        <v>44754</v>
      </c>
      <c r="C32" t="s">
        <v>14</v>
      </c>
      <c r="D32">
        <v>24</v>
      </c>
      <c r="E32" t="s">
        <v>21</v>
      </c>
      <c r="F32" t="s">
        <v>22</v>
      </c>
      <c r="G32">
        <v>3</v>
      </c>
      <c r="H32" s="4">
        <v>600</v>
      </c>
    </row>
    <row r="33" spans="2:8">
      <c r="B33" s="3">
        <v>44755</v>
      </c>
      <c r="C33" t="s">
        <v>17</v>
      </c>
      <c r="D33">
        <v>25</v>
      </c>
      <c r="E33" t="s">
        <v>20</v>
      </c>
      <c r="F33" t="s">
        <v>23</v>
      </c>
      <c r="G33">
        <v>1</v>
      </c>
      <c r="H33" s="4">
        <v>100</v>
      </c>
    </row>
    <row r="34" spans="2:8">
      <c r="B34" s="3">
        <v>44755</v>
      </c>
      <c r="C34" t="s">
        <v>17</v>
      </c>
      <c r="D34">
        <v>25</v>
      </c>
      <c r="E34" t="s">
        <v>20</v>
      </c>
      <c r="F34" t="s">
        <v>22</v>
      </c>
      <c r="G34">
        <v>1</v>
      </c>
      <c r="H34" s="4">
        <v>100</v>
      </c>
    </row>
    <row r="35" spans="2:8">
      <c r="B35" s="3">
        <v>44756</v>
      </c>
      <c r="C35" t="s">
        <v>18</v>
      </c>
      <c r="D35">
        <v>26</v>
      </c>
      <c r="E35" t="s">
        <v>19</v>
      </c>
      <c r="F35" t="s">
        <v>23</v>
      </c>
      <c r="G35">
        <v>2</v>
      </c>
      <c r="H35" s="4">
        <v>150</v>
      </c>
    </row>
    <row r="36" spans="2:8">
      <c r="B36" s="3">
        <v>44756</v>
      </c>
      <c r="C36" t="s">
        <v>18</v>
      </c>
      <c r="D36">
        <v>27</v>
      </c>
      <c r="E36" t="s">
        <v>21</v>
      </c>
      <c r="F36" t="s">
        <v>24</v>
      </c>
      <c r="G36">
        <v>1</v>
      </c>
      <c r="H36" s="4">
        <v>50</v>
      </c>
    </row>
    <row r="37" spans="2:8">
      <c r="B37" s="3">
        <v>44756</v>
      </c>
      <c r="C37" t="s">
        <v>18</v>
      </c>
      <c r="D37">
        <v>28</v>
      </c>
      <c r="E37" t="s">
        <v>21</v>
      </c>
      <c r="F37" t="s">
        <v>24</v>
      </c>
      <c r="G37">
        <v>1</v>
      </c>
      <c r="H37" s="4">
        <v>50</v>
      </c>
    </row>
    <row r="38" spans="2:8">
      <c r="B38" s="3">
        <v>44757</v>
      </c>
      <c r="C38" t="s">
        <v>15</v>
      </c>
      <c r="D38">
        <v>29</v>
      </c>
      <c r="E38" t="s">
        <v>19</v>
      </c>
      <c r="F38" t="s">
        <v>22</v>
      </c>
      <c r="G38">
        <v>2</v>
      </c>
      <c r="H38" s="4">
        <v>200</v>
      </c>
    </row>
    <row r="39" spans="2:8">
      <c r="B39" s="3">
        <v>44757</v>
      </c>
      <c r="C39" t="s">
        <v>15</v>
      </c>
      <c r="D39">
        <v>29</v>
      </c>
      <c r="E39" t="s">
        <v>20</v>
      </c>
      <c r="F39" t="s">
        <v>23</v>
      </c>
      <c r="G39">
        <v>2</v>
      </c>
      <c r="H39" s="4">
        <v>100</v>
      </c>
    </row>
    <row r="40" spans="2:8">
      <c r="B40" s="3">
        <v>44757</v>
      </c>
      <c r="C40" t="s">
        <v>15</v>
      </c>
      <c r="D40">
        <v>30</v>
      </c>
      <c r="E40" t="s">
        <v>20</v>
      </c>
      <c r="F40" t="s">
        <v>24</v>
      </c>
      <c r="G40">
        <v>1</v>
      </c>
      <c r="H40" s="4">
        <v>100</v>
      </c>
    </row>
    <row r="41" spans="2:8">
      <c r="B41" s="3">
        <v>44757</v>
      </c>
      <c r="C41" t="s">
        <v>15</v>
      </c>
      <c r="D41">
        <v>31</v>
      </c>
      <c r="E41" t="s">
        <v>20</v>
      </c>
      <c r="F41" t="s">
        <v>22</v>
      </c>
      <c r="G41">
        <v>1</v>
      </c>
      <c r="H41" s="4">
        <v>200</v>
      </c>
    </row>
    <row r="42" spans="2:8">
      <c r="B42" s="3">
        <v>44758</v>
      </c>
      <c r="C42" t="s">
        <v>16</v>
      </c>
      <c r="D42">
        <v>32</v>
      </c>
      <c r="E42" t="s">
        <v>19</v>
      </c>
      <c r="F42" t="s">
        <v>22</v>
      </c>
      <c r="G42">
        <v>1</v>
      </c>
      <c r="H42" s="4">
        <v>150</v>
      </c>
    </row>
    <row r="43" spans="2:8">
      <c r="B43" s="3">
        <v>44758</v>
      </c>
      <c r="C43" t="s">
        <v>16</v>
      </c>
      <c r="D43">
        <v>32</v>
      </c>
      <c r="E43" t="s">
        <v>19</v>
      </c>
      <c r="F43" t="s">
        <v>23</v>
      </c>
      <c r="G43">
        <v>1</v>
      </c>
      <c r="H43" s="4">
        <v>75</v>
      </c>
    </row>
    <row r="44" spans="2:8">
      <c r="B44" s="3">
        <v>44758</v>
      </c>
      <c r="C44" t="s">
        <v>16</v>
      </c>
      <c r="D44">
        <v>33</v>
      </c>
      <c r="E44" t="s">
        <v>21</v>
      </c>
      <c r="F44" t="s">
        <v>22</v>
      </c>
      <c r="G44">
        <v>2</v>
      </c>
      <c r="H44" s="4">
        <v>150</v>
      </c>
    </row>
    <row r="45" spans="2:8">
      <c r="B45" s="3">
        <v>44758</v>
      </c>
      <c r="C45" t="s">
        <v>16</v>
      </c>
      <c r="D45">
        <v>33</v>
      </c>
      <c r="E45" t="s">
        <v>21</v>
      </c>
      <c r="F45" t="s">
        <v>24</v>
      </c>
      <c r="G45">
        <v>2</v>
      </c>
      <c r="H45" s="4">
        <v>150</v>
      </c>
    </row>
    <row r="46" spans="2:8">
      <c r="B46" s="3">
        <v>44760</v>
      </c>
      <c r="C46" t="s">
        <v>13</v>
      </c>
      <c r="D46">
        <v>34</v>
      </c>
      <c r="E46" t="s">
        <v>19</v>
      </c>
      <c r="F46" t="s">
        <v>23</v>
      </c>
      <c r="G46">
        <v>1</v>
      </c>
      <c r="H46" s="4">
        <v>40</v>
      </c>
    </row>
    <row r="47" spans="2:8">
      <c r="B47" s="3">
        <v>44760</v>
      </c>
      <c r="C47" t="s">
        <v>13</v>
      </c>
      <c r="D47">
        <v>35</v>
      </c>
      <c r="E47" t="s">
        <v>20</v>
      </c>
      <c r="F47" t="s">
        <v>22</v>
      </c>
      <c r="G47">
        <v>2</v>
      </c>
      <c r="H47" s="4">
        <v>250</v>
      </c>
    </row>
    <row r="48" spans="2:8">
      <c r="B48" s="3">
        <v>44761</v>
      </c>
      <c r="C48" t="s">
        <v>14</v>
      </c>
      <c r="D48">
        <v>36</v>
      </c>
      <c r="E48" t="s">
        <v>20</v>
      </c>
      <c r="F48" t="s">
        <v>22</v>
      </c>
      <c r="G48">
        <v>3</v>
      </c>
      <c r="H48" s="4">
        <v>300</v>
      </c>
    </row>
    <row r="49" spans="2:8">
      <c r="B49" s="3">
        <v>44761</v>
      </c>
      <c r="C49" t="s">
        <v>14</v>
      </c>
      <c r="D49">
        <v>37</v>
      </c>
      <c r="E49" t="s">
        <v>21</v>
      </c>
      <c r="F49" t="s">
        <v>22</v>
      </c>
      <c r="G49">
        <v>2</v>
      </c>
      <c r="H49" s="4">
        <v>400</v>
      </c>
    </row>
    <row r="50" spans="2:8">
      <c r="B50" s="3">
        <v>44761</v>
      </c>
      <c r="C50" t="s">
        <v>14</v>
      </c>
      <c r="D50">
        <v>38</v>
      </c>
      <c r="E50" t="s">
        <v>19</v>
      </c>
      <c r="F50" t="s">
        <v>24</v>
      </c>
      <c r="G50">
        <v>2</v>
      </c>
      <c r="H50" s="4">
        <v>200</v>
      </c>
    </row>
    <row r="51" spans="2:8">
      <c r="B51" s="3">
        <v>44762</v>
      </c>
      <c r="C51" t="s">
        <v>17</v>
      </c>
      <c r="D51">
        <v>39</v>
      </c>
      <c r="E51" t="s">
        <v>19</v>
      </c>
      <c r="F51" t="s">
        <v>23</v>
      </c>
      <c r="G51">
        <v>3</v>
      </c>
      <c r="H51" s="4">
        <v>150</v>
      </c>
    </row>
    <row r="52" spans="2:8">
      <c r="B52" s="3">
        <v>44762</v>
      </c>
      <c r="C52" t="s">
        <v>17</v>
      </c>
      <c r="D52">
        <v>40</v>
      </c>
      <c r="E52" t="s">
        <v>19</v>
      </c>
      <c r="F52" t="s">
        <v>23</v>
      </c>
      <c r="G52">
        <v>1</v>
      </c>
      <c r="H52" s="4">
        <v>55</v>
      </c>
    </row>
    <row r="53" spans="2:8">
      <c r="B53" s="3">
        <v>44762</v>
      </c>
      <c r="C53" t="s">
        <v>17</v>
      </c>
      <c r="D53">
        <v>40</v>
      </c>
      <c r="E53" t="s">
        <v>19</v>
      </c>
      <c r="F53" t="s">
        <v>22</v>
      </c>
      <c r="G53">
        <v>1</v>
      </c>
      <c r="H53" s="4">
        <v>120</v>
      </c>
    </row>
    <row r="54" spans="2:8">
      <c r="B54" s="3">
        <v>44762</v>
      </c>
      <c r="C54" t="s">
        <v>17</v>
      </c>
      <c r="D54">
        <v>41</v>
      </c>
      <c r="E54" t="s">
        <v>20</v>
      </c>
      <c r="F54" t="s">
        <v>24</v>
      </c>
      <c r="G54">
        <v>2</v>
      </c>
      <c r="H54" s="4">
        <v>130</v>
      </c>
    </row>
    <row r="55" spans="2:8">
      <c r="B55" s="3">
        <v>44762</v>
      </c>
      <c r="C55" t="s">
        <v>17</v>
      </c>
      <c r="D55">
        <v>42</v>
      </c>
      <c r="E55" t="s">
        <v>21</v>
      </c>
      <c r="F55" t="s">
        <v>22</v>
      </c>
      <c r="G55">
        <v>2</v>
      </c>
      <c r="H55" s="4">
        <v>220</v>
      </c>
    </row>
    <row r="56" spans="2:8">
      <c r="B56" s="3">
        <v>44763</v>
      </c>
      <c r="C56" t="s">
        <v>18</v>
      </c>
      <c r="D56">
        <v>43</v>
      </c>
      <c r="E56" t="s">
        <v>21</v>
      </c>
      <c r="F56" t="s">
        <v>23</v>
      </c>
      <c r="G56">
        <v>1</v>
      </c>
      <c r="H56" s="4">
        <v>60</v>
      </c>
    </row>
    <row r="57" spans="2:8">
      <c r="B57" s="3">
        <v>44763</v>
      </c>
      <c r="C57" t="s">
        <v>18</v>
      </c>
      <c r="D57">
        <v>44</v>
      </c>
      <c r="E57" t="s">
        <v>20</v>
      </c>
      <c r="F57" t="s">
        <v>22</v>
      </c>
      <c r="G57">
        <v>2</v>
      </c>
      <c r="H57" s="4">
        <v>200</v>
      </c>
    </row>
    <row r="58" spans="2:8">
      <c r="B58" s="3">
        <v>44763</v>
      </c>
      <c r="C58" t="s">
        <v>18</v>
      </c>
      <c r="D58">
        <v>45</v>
      </c>
      <c r="E58" t="s">
        <v>20</v>
      </c>
      <c r="F58" t="s">
        <v>23</v>
      </c>
      <c r="G58">
        <v>1</v>
      </c>
      <c r="H58" s="4">
        <v>100</v>
      </c>
    </row>
    <row r="59" spans="2:8">
      <c r="B59" s="3">
        <v>44764</v>
      </c>
      <c r="C59" t="s">
        <v>15</v>
      </c>
      <c r="D59">
        <v>46</v>
      </c>
      <c r="E59" t="s">
        <v>21</v>
      </c>
      <c r="F59" t="s">
        <v>23</v>
      </c>
      <c r="G59">
        <v>2</v>
      </c>
      <c r="H59" s="4">
        <v>150</v>
      </c>
    </row>
    <row r="60" spans="2:8">
      <c r="B60" s="3">
        <v>44764</v>
      </c>
      <c r="C60" t="s">
        <v>15</v>
      </c>
      <c r="D60">
        <v>46</v>
      </c>
      <c r="E60" t="s">
        <v>21</v>
      </c>
      <c r="F60" t="s">
        <v>22</v>
      </c>
      <c r="G60">
        <v>2</v>
      </c>
      <c r="H60" s="4">
        <v>200</v>
      </c>
    </row>
    <row r="61" spans="2:8">
      <c r="B61" s="3">
        <v>44764</v>
      </c>
      <c r="C61" t="s">
        <v>15</v>
      </c>
      <c r="D61">
        <v>47</v>
      </c>
      <c r="E61" t="s">
        <v>19</v>
      </c>
      <c r="F61" t="s">
        <v>23</v>
      </c>
      <c r="G61">
        <v>3</v>
      </c>
      <c r="H61" s="4">
        <v>150</v>
      </c>
    </row>
    <row r="62" spans="2:8">
      <c r="B62" s="3">
        <v>44764</v>
      </c>
      <c r="C62" t="s">
        <v>15</v>
      </c>
      <c r="D62">
        <v>48</v>
      </c>
      <c r="E62" t="s">
        <v>20</v>
      </c>
      <c r="F62" t="s">
        <v>23</v>
      </c>
      <c r="G62">
        <v>3</v>
      </c>
      <c r="H62" s="4">
        <v>210</v>
      </c>
    </row>
    <row r="63" spans="2:8">
      <c r="B63" s="3">
        <v>44764</v>
      </c>
      <c r="C63" t="s">
        <v>15</v>
      </c>
      <c r="D63">
        <v>49</v>
      </c>
      <c r="E63" t="s">
        <v>20</v>
      </c>
      <c r="F63" t="s">
        <v>23</v>
      </c>
      <c r="G63">
        <v>2</v>
      </c>
      <c r="H63" s="4">
        <v>100</v>
      </c>
    </row>
    <row r="64" spans="2:8">
      <c r="B64" s="3">
        <v>44765</v>
      </c>
      <c r="C64" t="s">
        <v>16</v>
      </c>
      <c r="D64">
        <v>50</v>
      </c>
      <c r="E64" t="s">
        <v>19</v>
      </c>
      <c r="F64" t="s">
        <v>24</v>
      </c>
      <c r="G64">
        <v>3</v>
      </c>
      <c r="H64" s="4">
        <v>150</v>
      </c>
    </row>
    <row r="65" spans="2:8">
      <c r="B65" s="3">
        <v>44765</v>
      </c>
      <c r="C65" t="s">
        <v>16</v>
      </c>
      <c r="D65">
        <v>51</v>
      </c>
      <c r="E65" t="s">
        <v>19</v>
      </c>
      <c r="F65" t="s">
        <v>22</v>
      </c>
      <c r="G65">
        <v>1</v>
      </c>
      <c r="H65" s="4">
        <v>275</v>
      </c>
    </row>
    <row r="66" spans="2:8">
      <c r="B66" s="3">
        <v>44765</v>
      </c>
      <c r="C66" t="s">
        <v>16</v>
      </c>
      <c r="D66">
        <v>52</v>
      </c>
      <c r="E66" t="s">
        <v>20</v>
      </c>
      <c r="F66" t="s">
        <v>22</v>
      </c>
      <c r="G66">
        <v>1</v>
      </c>
      <c r="H66" s="4">
        <v>200</v>
      </c>
    </row>
    <row r="67" spans="2:8">
      <c r="B67" s="3">
        <v>44765</v>
      </c>
      <c r="C67" t="s">
        <v>16</v>
      </c>
      <c r="D67">
        <v>52</v>
      </c>
      <c r="E67" t="s">
        <v>20</v>
      </c>
      <c r="F67" t="s">
        <v>23</v>
      </c>
      <c r="G67">
        <v>2</v>
      </c>
      <c r="H67" s="4">
        <v>200</v>
      </c>
    </row>
    <row r="68" spans="2:8">
      <c r="B68" s="3">
        <v>44765</v>
      </c>
      <c r="C68" t="s">
        <v>16</v>
      </c>
      <c r="D68">
        <v>53</v>
      </c>
      <c r="E68" t="s">
        <v>21</v>
      </c>
      <c r="F68" t="s">
        <v>24</v>
      </c>
      <c r="G68">
        <v>2</v>
      </c>
      <c r="H68" s="4">
        <v>150</v>
      </c>
    </row>
    <row r="69" spans="2:8">
      <c r="B69" s="3">
        <v>44767</v>
      </c>
      <c r="C69" t="s">
        <v>13</v>
      </c>
      <c r="D69">
        <v>54</v>
      </c>
      <c r="E69" t="s">
        <v>19</v>
      </c>
      <c r="F69" t="s">
        <v>22</v>
      </c>
      <c r="G69">
        <v>2</v>
      </c>
      <c r="H69" s="4">
        <v>375</v>
      </c>
    </row>
    <row r="70" spans="2:8">
      <c r="B70" s="3">
        <v>44767</v>
      </c>
      <c r="C70" t="s">
        <v>13</v>
      </c>
      <c r="D70">
        <v>55</v>
      </c>
      <c r="E70" t="s">
        <v>21</v>
      </c>
      <c r="F70" t="s">
        <v>22</v>
      </c>
      <c r="G70">
        <v>3</v>
      </c>
      <c r="H70" s="4">
        <v>300</v>
      </c>
    </row>
    <row r="71" spans="2:8">
      <c r="B71" s="3">
        <v>44768</v>
      </c>
      <c r="C71" t="s">
        <v>14</v>
      </c>
      <c r="D71">
        <v>56</v>
      </c>
      <c r="E71" t="s">
        <v>20</v>
      </c>
      <c r="F71" t="s">
        <v>23</v>
      </c>
      <c r="G71">
        <v>1</v>
      </c>
      <c r="H71" s="4">
        <v>100</v>
      </c>
    </row>
    <row r="72" spans="2:8">
      <c r="B72" s="3">
        <v>44768</v>
      </c>
      <c r="C72" t="s">
        <v>14</v>
      </c>
      <c r="D72">
        <v>57</v>
      </c>
      <c r="E72" t="s">
        <v>19</v>
      </c>
      <c r="F72" t="s">
        <v>24</v>
      </c>
      <c r="G72">
        <v>1</v>
      </c>
      <c r="H72" s="4">
        <v>75</v>
      </c>
    </row>
    <row r="73" spans="2:8">
      <c r="B73" s="3">
        <v>44769</v>
      </c>
      <c r="C73" t="s">
        <v>17</v>
      </c>
      <c r="D73">
        <v>58</v>
      </c>
      <c r="E73" t="s">
        <v>20</v>
      </c>
      <c r="F73" t="s">
        <v>24</v>
      </c>
      <c r="G73">
        <v>2</v>
      </c>
      <c r="H73" s="4">
        <v>150</v>
      </c>
    </row>
    <row r="74" spans="2:8">
      <c r="B74" s="3">
        <v>44769</v>
      </c>
      <c r="C74" t="s">
        <v>17</v>
      </c>
      <c r="D74">
        <v>58</v>
      </c>
      <c r="E74" t="s">
        <v>21</v>
      </c>
      <c r="F74" t="s">
        <v>22</v>
      </c>
      <c r="G74">
        <v>2</v>
      </c>
      <c r="H74" s="4">
        <v>220</v>
      </c>
    </row>
    <row r="75" spans="2:8">
      <c r="B75" s="3">
        <v>44770</v>
      </c>
      <c r="C75" t="s">
        <v>18</v>
      </c>
      <c r="D75">
        <v>59</v>
      </c>
      <c r="E75" t="s">
        <v>21</v>
      </c>
      <c r="F75" t="s">
        <v>22</v>
      </c>
      <c r="G75">
        <v>1</v>
      </c>
      <c r="H75" s="4">
        <v>300</v>
      </c>
    </row>
    <row r="76" spans="2:8">
      <c r="B76" s="3">
        <v>44770</v>
      </c>
      <c r="C76" t="s">
        <v>18</v>
      </c>
      <c r="D76">
        <v>60</v>
      </c>
      <c r="E76" t="s">
        <v>20</v>
      </c>
      <c r="F76" t="s">
        <v>23</v>
      </c>
      <c r="G76">
        <v>2</v>
      </c>
      <c r="H76" s="4">
        <v>200</v>
      </c>
    </row>
    <row r="77" spans="2:8">
      <c r="B77" s="3">
        <v>44771</v>
      </c>
      <c r="C77" t="s">
        <v>15</v>
      </c>
      <c r="D77">
        <v>61</v>
      </c>
      <c r="E77" t="s">
        <v>19</v>
      </c>
      <c r="F77" t="s">
        <v>24</v>
      </c>
      <c r="G77">
        <v>3</v>
      </c>
      <c r="H77" s="4">
        <v>150</v>
      </c>
    </row>
    <row r="78" spans="2:8">
      <c r="B78" s="3">
        <v>44771</v>
      </c>
      <c r="C78" t="s">
        <v>15</v>
      </c>
      <c r="D78">
        <v>61</v>
      </c>
      <c r="E78" t="s">
        <v>19</v>
      </c>
      <c r="F78" t="s">
        <v>22</v>
      </c>
      <c r="G78">
        <v>2</v>
      </c>
      <c r="H78" s="4">
        <v>200</v>
      </c>
    </row>
    <row r="79" spans="2:8">
      <c r="B79" s="3">
        <v>44771</v>
      </c>
      <c r="C79" t="s">
        <v>15</v>
      </c>
      <c r="D79">
        <v>62</v>
      </c>
      <c r="E79" t="s">
        <v>20</v>
      </c>
      <c r="F79" t="s">
        <v>24</v>
      </c>
      <c r="G79">
        <v>1</v>
      </c>
      <c r="H79" s="4">
        <v>100</v>
      </c>
    </row>
    <row r="80" spans="2:8">
      <c r="B80" s="3">
        <v>44772</v>
      </c>
      <c r="C80" t="s">
        <v>16</v>
      </c>
      <c r="D80">
        <v>63</v>
      </c>
      <c r="E80" t="s">
        <v>21</v>
      </c>
      <c r="F80" t="s">
        <v>22</v>
      </c>
      <c r="G80">
        <v>2</v>
      </c>
      <c r="H80" s="4">
        <v>300</v>
      </c>
    </row>
    <row r="81" spans="2:8">
      <c r="B81" s="3">
        <v>44772</v>
      </c>
      <c r="C81" t="s">
        <v>16</v>
      </c>
      <c r="D81">
        <v>64</v>
      </c>
      <c r="E81" t="s">
        <v>20</v>
      </c>
      <c r="F81" t="s">
        <v>23</v>
      </c>
      <c r="G81">
        <v>3</v>
      </c>
      <c r="H81" s="4">
        <v>300</v>
      </c>
    </row>
    <row r="82" spans="2:8">
      <c r="B82" s="3">
        <v>44772</v>
      </c>
      <c r="C82" t="s">
        <v>16</v>
      </c>
      <c r="D82">
        <v>65</v>
      </c>
      <c r="E82" t="s">
        <v>19</v>
      </c>
      <c r="F82" t="s">
        <v>23</v>
      </c>
      <c r="G82">
        <v>2</v>
      </c>
      <c r="H82" s="4">
        <v>150</v>
      </c>
    </row>
    <row r="83" spans="2:8">
      <c r="B83" s="3">
        <v>44772</v>
      </c>
      <c r="C83" t="s">
        <v>16</v>
      </c>
      <c r="D83">
        <v>66</v>
      </c>
      <c r="E83" t="s">
        <v>19</v>
      </c>
      <c r="F83" t="s">
        <v>22</v>
      </c>
      <c r="G83">
        <v>1</v>
      </c>
      <c r="H83" s="4">
        <v>125</v>
      </c>
    </row>
    <row r="84" spans="2:8">
      <c r="B84" s="1" t="s">
        <v>26</v>
      </c>
      <c r="C84" s="2"/>
      <c r="D84" s="2" t="s">
        <v>27</v>
      </c>
      <c r="E84" s="2"/>
      <c r="F84" s="2"/>
      <c r="G84" s="2"/>
      <c r="H84"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F4854-8E6F-4689-8C00-D51EA8F391AF}">
  <dimension ref="A1:G79"/>
  <sheetViews>
    <sheetView workbookViewId="0">
      <selection activeCell="I3" sqref="I3"/>
    </sheetView>
  </sheetViews>
  <sheetFormatPr defaultRowHeight="15.5"/>
  <cols>
    <col min="6" max="6" width="10.9140625" bestFit="1" customWidth="1"/>
    <col min="7" max="7" width="12" bestFit="1" customWidth="1"/>
  </cols>
  <sheetData>
    <row r="1" spans="1:7">
      <c r="A1" s="7" t="s">
        <v>0</v>
      </c>
      <c r="B1" s="8" t="s">
        <v>1</v>
      </c>
      <c r="C1" s="8" t="s">
        <v>11</v>
      </c>
      <c r="D1" s="8" t="s">
        <v>12</v>
      </c>
      <c r="E1" s="8" t="s">
        <v>2</v>
      </c>
      <c r="F1" s="8" t="s">
        <v>3</v>
      </c>
      <c r="G1" s="9" t="s">
        <v>4</v>
      </c>
    </row>
    <row r="2" spans="1:7">
      <c r="A2" s="10">
        <v>44743</v>
      </c>
      <c r="B2" s="5" t="s">
        <v>15</v>
      </c>
      <c r="C2" s="5">
        <v>1</v>
      </c>
      <c r="D2" s="5" t="s">
        <v>21</v>
      </c>
      <c r="E2" s="5" t="s">
        <v>22</v>
      </c>
      <c r="F2" s="5">
        <v>1</v>
      </c>
      <c r="G2" s="11">
        <v>100</v>
      </c>
    </row>
    <row r="3" spans="1:7">
      <c r="A3" s="12">
        <v>44743</v>
      </c>
      <c r="B3" s="6" t="s">
        <v>15</v>
      </c>
      <c r="C3" s="6">
        <v>2</v>
      </c>
      <c r="D3" s="6" t="s">
        <v>19</v>
      </c>
      <c r="E3" s="6" t="s">
        <v>22</v>
      </c>
      <c r="F3" s="6">
        <v>1</v>
      </c>
      <c r="G3" s="13">
        <v>60</v>
      </c>
    </row>
    <row r="4" spans="1:7">
      <c r="A4" s="10">
        <v>44743</v>
      </c>
      <c r="B4" s="5" t="s">
        <v>15</v>
      </c>
      <c r="C4" s="5">
        <v>3</v>
      </c>
      <c r="D4" s="5" t="s">
        <v>20</v>
      </c>
      <c r="E4" s="5" t="s">
        <v>23</v>
      </c>
      <c r="F4" s="5">
        <v>1</v>
      </c>
      <c r="G4" s="11">
        <v>50</v>
      </c>
    </row>
    <row r="5" spans="1:7">
      <c r="A5" s="12">
        <v>44744</v>
      </c>
      <c r="B5" s="6" t="s">
        <v>16</v>
      </c>
      <c r="C5" s="6">
        <v>4</v>
      </c>
      <c r="D5" s="6" t="s">
        <v>21</v>
      </c>
      <c r="E5" s="6" t="s">
        <v>24</v>
      </c>
      <c r="F5" s="6">
        <v>1</v>
      </c>
      <c r="G5" s="13">
        <v>45</v>
      </c>
    </row>
    <row r="6" spans="1:7">
      <c r="A6" s="10">
        <v>44744</v>
      </c>
      <c r="B6" s="5" t="s">
        <v>16</v>
      </c>
      <c r="C6" s="5">
        <v>4</v>
      </c>
      <c r="D6" s="5" t="s">
        <v>21</v>
      </c>
      <c r="E6" s="5" t="s">
        <v>22</v>
      </c>
      <c r="F6" s="5">
        <v>1</v>
      </c>
      <c r="G6" s="11">
        <v>75</v>
      </c>
    </row>
    <row r="7" spans="1:7">
      <c r="A7" s="12">
        <v>44744</v>
      </c>
      <c r="B7" s="6" t="s">
        <v>16</v>
      </c>
      <c r="C7" s="6">
        <v>5</v>
      </c>
      <c r="D7" s="6" t="s">
        <v>19</v>
      </c>
      <c r="E7" s="6" t="s">
        <v>24</v>
      </c>
      <c r="F7" s="6">
        <v>2</v>
      </c>
      <c r="G7" s="13">
        <v>110</v>
      </c>
    </row>
    <row r="8" spans="1:7">
      <c r="A8" s="10">
        <v>44746</v>
      </c>
      <c r="B8" s="5" t="s">
        <v>13</v>
      </c>
      <c r="C8" s="5">
        <v>6</v>
      </c>
      <c r="D8" s="5" t="s">
        <v>19</v>
      </c>
      <c r="E8" s="5" t="s">
        <v>22</v>
      </c>
      <c r="F8" s="5">
        <v>3</v>
      </c>
      <c r="G8" s="11">
        <v>150</v>
      </c>
    </row>
    <row r="9" spans="1:7">
      <c r="A9" s="12">
        <v>44746</v>
      </c>
      <c r="B9" s="6" t="s">
        <v>13</v>
      </c>
      <c r="C9" s="6">
        <v>7</v>
      </c>
      <c r="D9" s="6" t="s">
        <v>20</v>
      </c>
      <c r="E9" s="6" t="s">
        <v>22</v>
      </c>
      <c r="F9" s="6">
        <v>1</v>
      </c>
      <c r="G9" s="13">
        <v>100</v>
      </c>
    </row>
    <row r="10" spans="1:7">
      <c r="A10" s="10">
        <v>44746</v>
      </c>
      <c r="B10" s="5" t="s">
        <v>13</v>
      </c>
      <c r="C10" s="5">
        <v>7</v>
      </c>
      <c r="D10" s="5" t="s">
        <v>20</v>
      </c>
      <c r="E10" s="5" t="s">
        <v>23</v>
      </c>
      <c r="F10" s="5">
        <v>1</v>
      </c>
      <c r="G10" s="11">
        <v>50</v>
      </c>
    </row>
    <row r="11" spans="1:7">
      <c r="A11" s="12">
        <v>44746</v>
      </c>
      <c r="B11" s="6" t="s">
        <v>13</v>
      </c>
      <c r="C11" s="6">
        <v>8</v>
      </c>
      <c r="D11" s="6" t="s">
        <v>20</v>
      </c>
      <c r="E11" s="6" t="s">
        <v>23</v>
      </c>
      <c r="F11" s="6">
        <v>2</v>
      </c>
      <c r="G11" s="13">
        <v>80</v>
      </c>
    </row>
    <row r="12" spans="1:7">
      <c r="A12" s="10">
        <v>44747</v>
      </c>
      <c r="B12" s="5" t="s">
        <v>14</v>
      </c>
      <c r="C12" s="5">
        <v>9</v>
      </c>
      <c r="D12" s="5" t="s">
        <v>19</v>
      </c>
      <c r="E12" s="5" t="s">
        <v>22</v>
      </c>
      <c r="F12" s="5">
        <v>2</v>
      </c>
      <c r="G12" s="11">
        <v>120</v>
      </c>
    </row>
    <row r="13" spans="1:7">
      <c r="A13" s="12">
        <v>44747</v>
      </c>
      <c r="B13" s="6" t="s">
        <v>14</v>
      </c>
      <c r="C13" s="6">
        <v>10</v>
      </c>
      <c r="D13" s="6" t="s">
        <v>19</v>
      </c>
      <c r="E13" s="6" t="s">
        <v>24</v>
      </c>
      <c r="F13" s="6">
        <v>3</v>
      </c>
      <c r="G13" s="13">
        <v>120</v>
      </c>
    </row>
    <row r="14" spans="1:7">
      <c r="A14" s="10">
        <v>44748</v>
      </c>
      <c r="B14" s="5" t="s">
        <v>17</v>
      </c>
      <c r="C14" s="5">
        <v>11</v>
      </c>
      <c r="D14" s="5" t="s">
        <v>21</v>
      </c>
      <c r="E14" s="5" t="s">
        <v>22</v>
      </c>
      <c r="F14" s="5">
        <v>2</v>
      </c>
      <c r="G14" s="11">
        <v>150</v>
      </c>
    </row>
    <row r="15" spans="1:7">
      <c r="A15" s="12">
        <v>44748</v>
      </c>
      <c r="B15" s="6" t="s">
        <v>17</v>
      </c>
      <c r="C15" s="6">
        <v>12</v>
      </c>
      <c r="D15" s="6" t="s">
        <v>21</v>
      </c>
      <c r="E15" s="6" t="s">
        <v>23</v>
      </c>
      <c r="F15" s="6">
        <v>3</v>
      </c>
      <c r="G15" s="13">
        <v>150</v>
      </c>
    </row>
    <row r="16" spans="1:7">
      <c r="A16" s="10">
        <v>44749</v>
      </c>
      <c r="B16" s="5" t="s">
        <v>18</v>
      </c>
      <c r="C16" s="5">
        <v>13</v>
      </c>
      <c r="D16" s="5" t="s">
        <v>20</v>
      </c>
      <c r="E16" s="5" t="s">
        <v>23</v>
      </c>
      <c r="F16" s="5">
        <v>2</v>
      </c>
      <c r="G16" s="11">
        <v>200</v>
      </c>
    </row>
    <row r="17" spans="1:7">
      <c r="A17" s="12">
        <v>44749</v>
      </c>
      <c r="B17" s="6" t="s">
        <v>18</v>
      </c>
      <c r="C17" s="6">
        <v>13</v>
      </c>
      <c r="D17" s="6" t="s">
        <v>20</v>
      </c>
      <c r="E17" s="6" t="s">
        <v>22</v>
      </c>
      <c r="F17" s="6">
        <v>1</v>
      </c>
      <c r="G17" s="13">
        <v>150</v>
      </c>
    </row>
    <row r="18" spans="1:7">
      <c r="A18" s="10">
        <v>44749</v>
      </c>
      <c r="B18" s="5" t="s">
        <v>18</v>
      </c>
      <c r="C18" s="5">
        <v>14</v>
      </c>
      <c r="D18" s="5" t="s">
        <v>19</v>
      </c>
      <c r="E18" s="5" t="s">
        <v>22</v>
      </c>
      <c r="F18" s="5">
        <v>1</v>
      </c>
      <c r="G18" s="11">
        <v>150</v>
      </c>
    </row>
    <row r="19" spans="1:7">
      <c r="A19" s="12">
        <v>44750</v>
      </c>
      <c r="B19" s="6" t="s">
        <v>15</v>
      </c>
      <c r="C19" s="6">
        <v>15</v>
      </c>
      <c r="D19" s="6" t="s">
        <v>19</v>
      </c>
      <c r="E19" s="6" t="s">
        <v>23</v>
      </c>
      <c r="F19" s="6">
        <v>4</v>
      </c>
      <c r="G19" s="13">
        <v>200</v>
      </c>
    </row>
    <row r="20" spans="1:7">
      <c r="A20" s="10">
        <v>44750</v>
      </c>
      <c r="B20" s="5" t="s">
        <v>15</v>
      </c>
      <c r="C20" s="5">
        <v>16</v>
      </c>
      <c r="D20" s="5" t="s">
        <v>21</v>
      </c>
      <c r="E20" s="5" t="s">
        <v>24</v>
      </c>
      <c r="F20" s="5">
        <v>2</v>
      </c>
      <c r="G20" s="11">
        <v>100</v>
      </c>
    </row>
    <row r="21" spans="1:7">
      <c r="A21" s="12">
        <v>44750</v>
      </c>
      <c r="B21" s="6" t="s">
        <v>15</v>
      </c>
      <c r="C21" s="6">
        <v>17</v>
      </c>
      <c r="D21" s="6" t="s">
        <v>19</v>
      </c>
      <c r="E21" s="6" t="s">
        <v>22</v>
      </c>
      <c r="F21" s="6">
        <v>1</v>
      </c>
      <c r="G21" s="13">
        <v>250</v>
      </c>
    </row>
    <row r="22" spans="1:7">
      <c r="A22" s="10">
        <v>44751</v>
      </c>
      <c r="B22" s="5" t="s">
        <v>16</v>
      </c>
      <c r="C22" s="5">
        <v>18</v>
      </c>
      <c r="D22" s="5" t="s">
        <v>19</v>
      </c>
      <c r="E22" s="5" t="s">
        <v>22</v>
      </c>
      <c r="F22" s="5">
        <v>1</v>
      </c>
      <c r="G22" s="11">
        <v>140</v>
      </c>
    </row>
    <row r="23" spans="1:7">
      <c r="A23" s="12">
        <v>44751</v>
      </c>
      <c r="B23" s="6" t="s">
        <v>16</v>
      </c>
      <c r="C23" s="6">
        <v>19</v>
      </c>
      <c r="D23" s="6" t="s">
        <v>20</v>
      </c>
      <c r="E23" s="6" t="s">
        <v>23</v>
      </c>
      <c r="F23" s="6">
        <v>2</v>
      </c>
      <c r="G23" s="13">
        <v>110</v>
      </c>
    </row>
    <row r="24" spans="1:7">
      <c r="A24" s="10">
        <v>44753</v>
      </c>
      <c r="B24" s="5" t="s">
        <v>13</v>
      </c>
      <c r="C24" s="5">
        <v>20</v>
      </c>
      <c r="D24" s="5" t="s">
        <v>21</v>
      </c>
      <c r="E24" s="5" t="s">
        <v>24</v>
      </c>
      <c r="F24" s="5">
        <v>2</v>
      </c>
      <c r="G24" s="11">
        <v>130</v>
      </c>
    </row>
    <row r="25" spans="1:7">
      <c r="A25" s="12">
        <v>44753</v>
      </c>
      <c r="B25" s="6" t="s">
        <v>13</v>
      </c>
      <c r="C25" s="6">
        <v>21</v>
      </c>
      <c r="D25" s="6" t="s">
        <v>20</v>
      </c>
      <c r="E25" s="6" t="s">
        <v>24</v>
      </c>
      <c r="F25" s="6">
        <v>2</v>
      </c>
      <c r="G25" s="13">
        <v>130</v>
      </c>
    </row>
    <row r="26" spans="1:7">
      <c r="A26" s="10">
        <v>44753</v>
      </c>
      <c r="B26" s="5" t="s">
        <v>13</v>
      </c>
      <c r="C26" s="5">
        <v>22</v>
      </c>
      <c r="D26" s="5" t="s">
        <v>19</v>
      </c>
      <c r="E26" s="5" t="s">
        <v>22</v>
      </c>
      <c r="F26" s="5">
        <v>3</v>
      </c>
      <c r="G26" s="11">
        <v>300</v>
      </c>
    </row>
    <row r="27" spans="1:7">
      <c r="A27" s="12">
        <v>44754</v>
      </c>
      <c r="B27" s="6" t="s">
        <v>14</v>
      </c>
      <c r="C27" s="6">
        <v>23</v>
      </c>
      <c r="D27" s="6" t="s">
        <v>19</v>
      </c>
      <c r="E27" s="6" t="s">
        <v>23</v>
      </c>
      <c r="F27" s="6">
        <v>2</v>
      </c>
      <c r="G27" s="13">
        <v>200</v>
      </c>
    </row>
    <row r="28" spans="1:7">
      <c r="A28" s="10">
        <v>44754</v>
      </c>
      <c r="B28" s="5" t="s">
        <v>14</v>
      </c>
      <c r="C28" s="5">
        <v>24</v>
      </c>
      <c r="D28" s="5" t="s">
        <v>21</v>
      </c>
      <c r="E28" s="5" t="s">
        <v>22</v>
      </c>
      <c r="F28" s="5">
        <v>3</v>
      </c>
      <c r="G28" s="11">
        <v>600</v>
      </c>
    </row>
    <row r="29" spans="1:7">
      <c r="A29" s="12">
        <v>44755</v>
      </c>
      <c r="B29" s="6" t="s">
        <v>17</v>
      </c>
      <c r="C29" s="6">
        <v>25</v>
      </c>
      <c r="D29" s="6" t="s">
        <v>20</v>
      </c>
      <c r="E29" s="6" t="s">
        <v>23</v>
      </c>
      <c r="F29" s="6">
        <v>1</v>
      </c>
      <c r="G29" s="13">
        <v>100</v>
      </c>
    </row>
    <row r="30" spans="1:7">
      <c r="A30" s="10">
        <v>44755</v>
      </c>
      <c r="B30" s="5" t="s">
        <v>17</v>
      </c>
      <c r="C30" s="5">
        <v>25</v>
      </c>
      <c r="D30" s="5" t="s">
        <v>20</v>
      </c>
      <c r="E30" s="5" t="s">
        <v>22</v>
      </c>
      <c r="F30" s="5">
        <v>1</v>
      </c>
      <c r="G30" s="11">
        <v>100</v>
      </c>
    </row>
    <row r="31" spans="1:7">
      <c r="A31" s="12">
        <v>44756</v>
      </c>
      <c r="B31" s="6" t="s">
        <v>18</v>
      </c>
      <c r="C31" s="6">
        <v>26</v>
      </c>
      <c r="D31" s="6" t="s">
        <v>19</v>
      </c>
      <c r="E31" s="6" t="s">
        <v>23</v>
      </c>
      <c r="F31" s="6">
        <v>2</v>
      </c>
      <c r="G31" s="13">
        <v>150</v>
      </c>
    </row>
    <row r="32" spans="1:7">
      <c r="A32" s="10">
        <v>44756</v>
      </c>
      <c r="B32" s="5" t="s">
        <v>18</v>
      </c>
      <c r="C32" s="5">
        <v>27</v>
      </c>
      <c r="D32" s="5" t="s">
        <v>21</v>
      </c>
      <c r="E32" s="5" t="s">
        <v>24</v>
      </c>
      <c r="F32" s="5">
        <v>1</v>
      </c>
      <c r="G32" s="11">
        <v>50</v>
      </c>
    </row>
    <row r="33" spans="1:7">
      <c r="A33" s="12">
        <v>44756</v>
      </c>
      <c r="B33" s="6" t="s">
        <v>18</v>
      </c>
      <c r="C33" s="6">
        <v>28</v>
      </c>
      <c r="D33" s="6" t="s">
        <v>21</v>
      </c>
      <c r="E33" s="6" t="s">
        <v>24</v>
      </c>
      <c r="F33" s="6">
        <v>1</v>
      </c>
      <c r="G33" s="13">
        <v>50</v>
      </c>
    </row>
    <row r="34" spans="1:7">
      <c r="A34" s="10">
        <v>44757</v>
      </c>
      <c r="B34" s="5" t="s">
        <v>15</v>
      </c>
      <c r="C34" s="5">
        <v>29</v>
      </c>
      <c r="D34" s="5" t="s">
        <v>19</v>
      </c>
      <c r="E34" s="5" t="s">
        <v>22</v>
      </c>
      <c r="F34" s="5">
        <v>2</v>
      </c>
      <c r="G34" s="11">
        <v>200</v>
      </c>
    </row>
    <row r="35" spans="1:7">
      <c r="A35" s="12">
        <v>44757</v>
      </c>
      <c r="B35" s="6" t="s">
        <v>15</v>
      </c>
      <c r="C35" s="6">
        <v>29</v>
      </c>
      <c r="D35" s="6" t="s">
        <v>20</v>
      </c>
      <c r="E35" s="6" t="s">
        <v>23</v>
      </c>
      <c r="F35" s="6">
        <v>2</v>
      </c>
      <c r="G35" s="13">
        <v>100</v>
      </c>
    </row>
    <row r="36" spans="1:7">
      <c r="A36" s="10">
        <v>44757</v>
      </c>
      <c r="B36" s="5" t="s">
        <v>15</v>
      </c>
      <c r="C36" s="5">
        <v>30</v>
      </c>
      <c r="D36" s="5" t="s">
        <v>20</v>
      </c>
      <c r="E36" s="5" t="s">
        <v>24</v>
      </c>
      <c r="F36" s="5">
        <v>1</v>
      </c>
      <c r="G36" s="11">
        <v>100</v>
      </c>
    </row>
    <row r="37" spans="1:7">
      <c r="A37" s="12">
        <v>44757</v>
      </c>
      <c r="B37" s="6" t="s">
        <v>15</v>
      </c>
      <c r="C37" s="6">
        <v>31</v>
      </c>
      <c r="D37" s="6" t="s">
        <v>20</v>
      </c>
      <c r="E37" s="6" t="s">
        <v>22</v>
      </c>
      <c r="F37" s="6">
        <v>1</v>
      </c>
      <c r="G37" s="13">
        <v>200</v>
      </c>
    </row>
    <row r="38" spans="1:7">
      <c r="A38" s="10">
        <v>44758</v>
      </c>
      <c r="B38" s="5" t="s">
        <v>16</v>
      </c>
      <c r="C38" s="5">
        <v>32</v>
      </c>
      <c r="D38" s="5" t="s">
        <v>19</v>
      </c>
      <c r="E38" s="5" t="s">
        <v>22</v>
      </c>
      <c r="F38" s="5">
        <v>1</v>
      </c>
      <c r="G38" s="11">
        <v>150</v>
      </c>
    </row>
    <row r="39" spans="1:7">
      <c r="A39" s="12">
        <v>44758</v>
      </c>
      <c r="B39" s="6" t="s">
        <v>16</v>
      </c>
      <c r="C39" s="6">
        <v>32</v>
      </c>
      <c r="D39" s="6" t="s">
        <v>19</v>
      </c>
      <c r="E39" s="6" t="s">
        <v>23</v>
      </c>
      <c r="F39" s="6">
        <v>1</v>
      </c>
      <c r="G39" s="13">
        <v>75</v>
      </c>
    </row>
    <row r="40" spans="1:7">
      <c r="A40" s="10">
        <v>44758</v>
      </c>
      <c r="B40" s="5" t="s">
        <v>16</v>
      </c>
      <c r="C40" s="5">
        <v>33</v>
      </c>
      <c r="D40" s="5" t="s">
        <v>21</v>
      </c>
      <c r="E40" s="5" t="s">
        <v>22</v>
      </c>
      <c r="F40" s="5">
        <v>2</v>
      </c>
      <c r="G40" s="11">
        <v>150</v>
      </c>
    </row>
    <row r="41" spans="1:7">
      <c r="A41" s="12">
        <v>44758</v>
      </c>
      <c r="B41" s="6" t="s">
        <v>16</v>
      </c>
      <c r="C41" s="6">
        <v>33</v>
      </c>
      <c r="D41" s="6" t="s">
        <v>21</v>
      </c>
      <c r="E41" s="6" t="s">
        <v>24</v>
      </c>
      <c r="F41" s="6">
        <v>2</v>
      </c>
      <c r="G41" s="13">
        <v>150</v>
      </c>
    </row>
    <row r="42" spans="1:7">
      <c r="A42" s="10">
        <v>44760</v>
      </c>
      <c r="B42" s="5" t="s">
        <v>13</v>
      </c>
      <c r="C42" s="5">
        <v>34</v>
      </c>
      <c r="D42" s="5" t="s">
        <v>19</v>
      </c>
      <c r="E42" s="5" t="s">
        <v>23</v>
      </c>
      <c r="F42" s="5">
        <v>1</v>
      </c>
      <c r="G42" s="11">
        <v>40</v>
      </c>
    </row>
    <row r="43" spans="1:7">
      <c r="A43" s="12">
        <v>44760</v>
      </c>
      <c r="B43" s="6" t="s">
        <v>13</v>
      </c>
      <c r="C43" s="6">
        <v>35</v>
      </c>
      <c r="D43" s="6" t="s">
        <v>20</v>
      </c>
      <c r="E43" s="6" t="s">
        <v>22</v>
      </c>
      <c r="F43" s="6">
        <v>2</v>
      </c>
      <c r="G43" s="13">
        <v>250</v>
      </c>
    </row>
    <row r="44" spans="1:7">
      <c r="A44" s="10">
        <v>44761</v>
      </c>
      <c r="B44" s="5" t="s">
        <v>14</v>
      </c>
      <c r="C44" s="5">
        <v>36</v>
      </c>
      <c r="D44" s="5" t="s">
        <v>20</v>
      </c>
      <c r="E44" s="5" t="s">
        <v>22</v>
      </c>
      <c r="F44" s="5">
        <v>3</v>
      </c>
      <c r="G44" s="11">
        <v>300</v>
      </c>
    </row>
    <row r="45" spans="1:7">
      <c r="A45" s="12">
        <v>44761</v>
      </c>
      <c r="B45" s="6" t="s">
        <v>14</v>
      </c>
      <c r="C45" s="6">
        <v>37</v>
      </c>
      <c r="D45" s="6" t="s">
        <v>21</v>
      </c>
      <c r="E45" s="6" t="s">
        <v>22</v>
      </c>
      <c r="F45" s="6">
        <v>2</v>
      </c>
      <c r="G45" s="13">
        <v>400</v>
      </c>
    </row>
    <row r="46" spans="1:7">
      <c r="A46" s="10">
        <v>44761</v>
      </c>
      <c r="B46" s="5" t="s">
        <v>14</v>
      </c>
      <c r="C46" s="5">
        <v>38</v>
      </c>
      <c r="D46" s="5" t="s">
        <v>19</v>
      </c>
      <c r="E46" s="5" t="s">
        <v>24</v>
      </c>
      <c r="F46" s="5">
        <v>2</v>
      </c>
      <c r="G46" s="11">
        <v>200</v>
      </c>
    </row>
    <row r="47" spans="1:7">
      <c r="A47" s="12">
        <v>44762</v>
      </c>
      <c r="B47" s="6" t="s">
        <v>17</v>
      </c>
      <c r="C47" s="6">
        <v>39</v>
      </c>
      <c r="D47" s="6" t="s">
        <v>19</v>
      </c>
      <c r="E47" s="6" t="s">
        <v>23</v>
      </c>
      <c r="F47" s="6">
        <v>3</v>
      </c>
      <c r="G47" s="13">
        <v>150</v>
      </c>
    </row>
    <row r="48" spans="1:7">
      <c r="A48" s="10">
        <v>44762</v>
      </c>
      <c r="B48" s="5" t="s">
        <v>17</v>
      </c>
      <c r="C48" s="5">
        <v>40</v>
      </c>
      <c r="D48" s="5" t="s">
        <v>19</v>
      </c>
      <c r="E48" s="5" t="s">
        <v>23</v>
      </c>
      <c r="F48" s="5">
        <v>1</v>
      </c>
      <c r="G48" s="11">
        <v>55</v>
      </c>
    </row>
    <row r="49" spans="1:7">
      <c r="A49" s="12">
        <v>44762</v>
      </c>
      <c r="B49" s="6" t="s">
        <v>17</v>
      </c>
      <c r="C49" s="6">
        <v>40</v>
      </c>
      <c r="D49" s="6" t="s">
        <v>19</v>
      </c>
      <c r="E49" s="6" t="s">
        <v>22</v>
      </c>
      <c r="F49" s="6">
        <v>1</v>
      </c>
      <c r="G49" s="13">
        <v>120</v>
      </c>
    </row>
    <row r="50" spans="1:7">
      <c r="A50" s="10">
        <v>44762</v>
      </c>
      <c r="B50" s="5" t="s">
        <v>17</v>
      </c>
      <c r="C50" s="5">
        <v>41</v>
      </c>
      <c r="D50" s="5" t="s">
        <v>20</v>
      </c>
      <c r="E50" s="5" t="s">
        <v>24</v>
      </c>
      <c r="F50" s="5">
        <v>2</v>
      </c>
      <c r="G50" s="11">
        <v>130</v>
      </c>
    </row>
    <row r="51" spans="1:7">
      <c r="A51" s="12">
        <v>44762</v>
      </c>
      <c r="B51" s="6" t="s">
        <v>17</v>
      </c>
      <c r="C51" s="6">
        <v>42</v>
      </c>
      <c r="D51" s="6" t="s">
        <v>21</v>
      </c>
      <c r="E51" s="6" t="s">
        <v>22</v>
      </c>
      <c r="F51" s="6">
        <v>2</v>
      </c>
      <c r="G51" s="13">
        <v>220</v>
      </c>
    </row>
    <row r="52" spans="1:7">
      <c r="A52" s="10">
        <v>44763</v>
      </c>
      <c r="B52" s="5" t="s">
        <v>18</v>
      </c>
      <c r="C52" s="5">
        <v>43</v>
      </c>
      <c r="D52" s="5" t="s">
        <v>21</v>
      </c>
      <c r="E52" s="5" t="s">
        <v>23</v>
      </c>
      <c r="F52" s="5">
        <v>1</v>
      </c>
      <c r="G52" s="11">
        <v>60</v>
      </c>
    </row>
    <row r="53" spans="1:7">
      <c r="A53" s="12">
        <v>44763</v>
      </c>
      <c r="B53" s="6" t="s">
        <v>18</v>
      </c>
      <c r="C53" s="6">
        <v>44</v>
      </c>
      <c r="D53" s="6" t="s">
        <v>20</v>
      </c>
      <c r="E53" s="6" t="s">
        <v>22</v>
      </c>
      <c r="F53" s="6">
        <v>2</v>
      </c>
      <c r="G53" s="13">
        <v>200</v>
      </c>
    </row>
    <row r="54" spans="1:7">
      <c r="A54" s="10">
        <v>44763</v>
      </c>
      <c r="B54" s="5" t="s">
        <v>18</v>
      </c>
      <c r="C54" s="5">
        <v>45</v>
      </c>
      <c r="D54" s="5" t="s">
        <v>20</v>
      </c>
      <c r="E54" s="5" t="s">
        <v>23</v>
      </c>
      <c r="F54" s="5">
        <v>1</v>
      </c>
      <c r="G54" s="11">
        <v>100</v>
      </c>
    </row>
    <row r="55" spans="1:7">
      <c r="A55" s="12">
        <v>44764</v>
      </c>
      <c r="B55" s="6" t="s">
        <v>15</v>
      </c>
      <c r="C55" s="6">
        <v>46</v>
      </c>
      <c r="D55" s="6" t="s">
        <v>21</v>
      </c>
      <c r="E55" s="6" t="s">
        <v>23</v>
      </c>
      <c r="F55" s="6">
        <v>2</v>
      </c>
      <c r="G55" s="13">
        <v>150</v>
      </c>
    </row>
    <row r="56" spans="1:7">
      <c r="A56" s="10">
        <v>44764</v>
      </c>
      <c r="B56" s="5" t="s">
        <v>15</v>
      </c>
      <c r="C56" s="5">
        <v>46</v>
      </c>
      <c r="D56" s="5" t="s">
        <v>21</v>
      </c>
      <c r="E56" s="5" t="s">
        <v>22</v>
      </c>
      <c r="F56" s="5">
        <v>2</v>
      </c>
      <c r="G56" s="11">
        <v>200</v>
      </c>
    </row>
    <row r="57" spans="1:7">
      <c r="A57" s="12">
        <v>44764</v>
      </c>
      <c r="B57" s="6" t="s">
        <v>15</v>
      </c>
      <c r="C57" s="6">
        <v>47</v>
      </c>
      <c r="D57" s="6" t="s">
        <v>19</v>
      </c>
      <c r="E57" s="6" t="s">
        <v>23</v>
      </c>
      <c r="F57" s="6">
        <v>3</v>
      </c>
      <c r="G57" s="13">
        <v>150</v>
      </c>
    </row>
    <row r="58" spans="1:7">
      <c r="A58" s="10">
        <v>44764</v>
      </c>
      <c r="B58" s="5" t="s">
        <v>15</v>
      </c>
      <c r="C58" s="5">
        <v>48</v>
      </c>
      <c r="D58" s="5" t="s">
        <v>20</v>
      </c>
      <c r="E58" s="5" t="s">
        <v>23</v>
      </c>
      <c r="F58" s="5">
        <v>3</v>
      </c>
      <c r="G58" s="11">
        <v>210</v>
      </c>
    </row>
    <row r="59" spans="1:7">
      <c r="A59" s="12">
        <v>44764</v>
      </c>
      <c r="B59" s="6" t="s">
        <v>15</v>
      </c>
      <c r="C59" s="6">
        <v>49</v>
      </c>
      <c r="D59" s="6" t="s">
        <v>20</v>
      </c>
      <c r="E59" s="6" t="s">
        <v>23</v>
      </c>
      <c r="F59" s="6">
        <v>2</v>
      </c>
      <c r="G59" s="13">
        <v>100</v>
      </c>
    </row>
    <row r="60" spans="1:7">
      <c r="A60" s="10">
        <v>44765</v>
      </c>
      <c r="B60" s="5" t="s">
        <v>16</v>
      </c>
      <c r="C60" s="5">
        <v>50</v>
      </c>
      <c r="D60" s="5" t="s">
        <v>19</v>
      </c>
      <c r="E60" s="5" t="s">
        <v>24</v>
      </c>
      <c r="F60" s="5">
        <v>3</v>
      </c>
      <c r="G60" s="11">
        <v>150</v>
      </c>
    </row>
    <row r="61" spans="1:7">
      <c r="A61" s="12">
        <v>44765</v>
      </c>
      <c r="B61" s="6" t="s">
        <v>16</v>
      </c>
      <c r="C61" s="6">
        <v>51</v>
      </c>
      <c r="D61" s="6" t="s">
        <v>19</v>
      </c>
      <c r="E61" s="6" t="s">
        <v>22</v>
      </c>
      <c r="F61" s="6">
        <v>1</v>
      </c>
      <c r="G61" s="13">
        <v>275</v>
      </c>
    </row>
    <row r="62" spans="1:7">
      <c r="A62" s="10">
        <v>44765</v>
      </c>
      <c r="B62" s="5" t="s">
        <v>16</v>
      </c>
      <c r="C62" s="5">
        <v>52</v>
      </c>
      <c r="D62" s="5" t="s">
        <v>20</v>
      </c>
      <c r="E62" s="5" t="s">
        <v>22</v>
      </c>
      <c r="F62" s="5">
        <v>1</v>
      </c>
      <c r="G62" s="11">
        <v>200</v>
      </c>
    </row>
    <row r="63" spans="1:7">
      <c r="A63" s="12">
        <v>44765</v>
      </c>
      <c r="B63" s="6" t="s">
        <v>16</v>
      </c>
      <c r="C63" s="6">
        <v>52</v>
      </c>
      <c r="D63" s="6" t="s">
        <v>20</v>
      </c>
      <c r="E63" s="6" t="s">
        <v>23</v>
      </c>
      <c r="F63" s="6">
        <v>2</v>
      </c>
      <c r="G63" s="13">
        <v>200</v>
      </c>
    </row>
    <row r="64" spans="1:7">
      <c r="A64" s="10">
        <v>44765</v>
      </c>
      <c r="B64" s="5" t="s">
        <v>16</v>
      </c>
      <c r="C64" s="5">
        <v>53</v>
      </c>
      <c r="D64" s="5" t="s">
        <v>21</v>
      </c>
      <c r="E64" s="5" t="s">
        <v>24</v>
      </c>
      <c r="F64" s="5">
        <v>2</v>
      </c>
      <c r="G64" s="11">
        <v>150</v>
      </c>
    </row>
    <row r="65" spans="1:7">
      <c r="A65" s="12">
        <v>44767</v>
      </c>
      <c r="B65" s="6" t="s">
        <v>13</v>
      </c>
      <c r="C65" s="6">
        <v>54</v>
      </c>
      <c r="D65" s="6" t="s">
        <v>19</v>
      </c>
      <c r="E65" s="6" t="s">
        <v>22</v>
      </c>
      <c r="F65" s="6">
        <v>2</v>
      </c>
      <c r="G65" s="13">
        <v>375</v>
      </c>
    </row>
    <row r="66" spans="1:7">
      <c r="A66" s="10">
        <v>44767</v>
      </c>
      <c r="B66" s="5" t="s">
        <v>13</v>
      </c>
      <c r="C66" s="5">
        <v>55</v>
      </c>
      <c r="D66" s="5" t="s">
        <v>21</v>
      </c>
      <c r="E66" s="5" t="s">
        <v>22</v>
      </c>
      <c r="F66" s="5">
        <v>3</v>
      </c>
      <c r="G66" s="11">
        <v>300</v>
      </c>
    </row>
    <row r="67" spans="1:7">
      <c r="A67" s="12">
        <v>44768</v>
      </c>
      <c r="B67" s="6" t="s">
        <v>14</v>
      </c>
      <c r="C67" s="6">
        <v>56</v>
      </c>
      <c r="D67" s="6" t="s">
        <v>20</v>
      </c>
      <c r="E67" s="6" t="s">
        <v>23</v>
      </c>
      <c r="F67" s="6">
        <v>1</v>
      </c>
      <c r="G67" s="13">
        <v>100</v>
      </c>
    </row>
    <row r="68" spans="1:7">
      <c r="A68" s="10">
        <v>44768</v>
      </c>
      <c r="B68" s="5" t="s">
        <v>14</v>
      </c>
      <c r="C68" s="5">
        <v>57</v>
      </c>
      <c r="D68" s="5" t="s">
        <v>19</v>
      </c>
      <c r="E68" s="5" t="s">
        <v>24</v>
      </c>
      <c r="F68" s="5">
        <v>1</v>
      </c>
      <c r="G68" s="11">
        <v>75</v>
      </c>
    </row>
    <row r="69" spans="1:7">
      <c r="A69" s="12">
        <v>44769</v>
      </c>
      <c r="B69" s="6" t="s">
        <v>17</v>
      </c>
      <c r="C69" s="6">
        <v>58</v>
      </c>
      <c r="D69" s="6" t="s">
        <v>20</v>
      </c>
      <c r="E69" s="6" t="s">
        <v>24</v>
      </c>
      <c r="F69" s="6">
        <v>2</v>
      </c>
      <c r="G69" s="13">
        <v>150</v>
      </c>
    </row>
    <row r="70" spans="1:7">
      <c r="A70" s="10">
        <v>44769</v>
      </c>
      <c r="B70" s="5" t="s">
        <v>17</v>
      </c>
      <c r="C70" s="5">
        <v>58</v>
      </c>
      <c r="D70" s="5" t="s">
        <v>21</v>
      </c>
      <c r="E70" s="5" t="s">
        <v>22</v>
      </c>
      <c r="F70" s="5">
        <v>2</v>
      </c>
      <c r="G70" s="11">
        <v>220</v>
      </c>
    </row>
    <row r="71" spans="1:7">
      <c r="A71" s="12">
        <v>44770</v>
      </c>
      <c r="B71" s="6" t="s">
        <v>18</v>
      </c>
      <c r="C71" s="6">
        <v>59</v>
      </c>
      <c r="D71" s="6" t="s">
        <v>21</v>
      </c>
      <c r="E71" s="6" t="s">
        <v>22</v>
      </c>
      <c r="F71" s="6">
        <v>1</v>
      </c>
      <c r="G71" s="13">
        <v>300</v>
      </c>
    </row>
    <row r="72" spans="1:7">
      <c r="A72" s="10">
        <v>44770</v>
      </c>
      <c r="B72" s="5" t="s">
        <v>18</v>
      </c>
      <c r="C72" s="5">
        <v>60</v>
      </c>
      <c r="D72" s="5" t="s">
        <v>20</v>
      </c>
      <c r="E72" s="5" t="s">
        <v>23</v>
      </c>
      <c r="F72" s="5">
        <v>2</v>
      </c>
      <c r="G72" s="11">
        <v>200</v>
      </c>
    </row>
    <row r="73" spans="1:7">
      <c r="A73" s="12">
        <v>44771</v>
      </c>
      <c r="B73" s="6" t="s">
        <v>15</v>
      </c>
      <c r="C73" s="6">
        <v>61</v>
      </c>
      <c r="D73" s="6" t="s">
        <v>19</v>
      </c>
      <c r="E73" s="6" t="s">
        <v>24</v>
      </c>
      <c r="F73" s="6">
        <v>3</v>
      </c>
      <c r="G73" s="13">
        <v>150</v>
      </c>
    </row>
    <row r="74" spans="1:7">
      <c r="A74" s="10">
        <v>44771</v>
      </c>
      <c r="B74" s="5" t="s">
        <v>15</v>
      </c>
      <c r="C74" s="5">
        <v>61</v>
      </c>
      <c r="D74" s="5" t="s">
        <v>19</v>
      </c>
      <c r="E74" s="5" t="s">
        <v>22</v>
      </c>
      <c r="F74" s="5">
        <v>2</v>
      </c>
      <c r="G74" s="11">
        <v>200</v>
      </c>
    </row>
    <row r="75" spans="1:7">
      <c r="A75" s="12">
        <v>44771</v>
      </c>
      <c r="B75" s="6" t="s">
        <v>15</v>
      </c>
      <c r="C75" s="6">
        <v>62</v>
      </c>
      <c r="D75" s="6" t="s">
        <v>20</v>
      </c>
      <c r="E75" s="6" t="s">
        <v>24</v>
      </c>
      <c r="F75" s="6">
        <v>1</v>
      </c>
      <c r="G75" s="13">
        <v>100</v>
      </c>
    </row>
    <row r="76" spans="1:7">
      <c r="A76" s="10">
        <v>44772</v>
      </c>
      <c r="B76" s="5" t="s">
        <v>16</v>
      </c>
      <c r="C76" s="5">
        <v>63</v>
      </c>
      <c r="D76" s="5" t="s">
        <v>21</v>
      </c>
      <c r="E76" s="5" t="s">
        <v>22</v>
      </c>
      <c r="F76" s="5">
        <v>2</v>
      </c>
      <c r="G76" s="11">
        <v>300</v>
      </c>
    </row>
    <row r="77" spans="1:7">
      <c r="A77" s="12">
        <v>44772</v>
      </c>
      <c r="B77" s="6" t="s">
        <v>16</v>
      </c>
      <c r="C77" s="6">
        <v>64</v>
      </c>
      <c r="D77" s="6" t="s">
        <v>20</v>
      </c>
      <c r="E77" s="6" t="s">
        <v>23</v>
      </c>
      <c r="F77" s="6">
        <v>3</v>
      </c>
      <c r="G77" s="13">
        <v>300</v>
      </c>
    </row>
    <row r="78" spans="1:7">
      <c r="A78" s="10">
        <v>44772</v>
      </c>
      <c r="B78" s="5" t="s">
        <v>16</v>
      </c>
      <c r="C78" s="5">
        <v>65</v>
      </c>
      <c r="D78" s="5" t="s">
        <v>19</v>
      </c>
      <c r="E78" s="5" t="s">
        <v>23</v>
      </c>
      <c r="F78" s="5">
        <v>2</v>
      </c>
      <c r="G78" s="11">
        <v>150</v>
      </c>
    </row>
    <row r="79" spans="1:7">
      <c r="A79" s="12">
        <v>44772</v>
      </c>
      <c r="B79" s="6" t="s">
        <v>16</v>
      </c>
      <c r="C79" s="6">
        <v>66</v>
      </c>
      <c r="D79" s="6" t="s">
        <v>19</v>
      </c>
      <c r="E79" s="6" t="s">
        <v>22</v>
      </c>
      <c r="F79" s="6">
        <v>1</v>
      </c>
      <c r="G79" s="13">
        <v>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F74DB-4EF1-46D6-9731-CCED109A9D13}">
  <dimension ref="A3:C7"/>
  <sheetViews>
    <sheetView workbookViewId="0">
      <selection activeCell="C6" sqref="C6"/>
    </sheetView>
  </sheetViews>
  <sheetFormatPr defaultRowHeight="15.5"/>
  <cols>
    <col min="1" max="1" width="12.33203125" bestFit="1" customWidth="1"/>
    <col min="2" max="2" width="19.08203125" bestFit="1" customWidth="1"/>
    <col min="3" max="3" width="23.5" bestFit="1" customWidth="1"/>
  </cols>
  <sheetData>
    <row r="3" spans="1:3">
      <c r="A3" s="15" t="s">
        <v>42</v>
      </c>
      <c r="B3" t="s">
        <v>40</v>
      </c>
      <c r="C3" t="s">
        <v>44</v>
      </c>
    </row>
    <row r="4" spans="1:3">
      <c r="A4" s="16" t="s">
        <v>20</v>
      </c>
      <c r="B4" s="14">
        <v>4010</v>
      </c>
      <c r="C4" s="14">
        <v>148.5185185185185</v>
      </c>
    </row>
    <row r="5" spans="1:3">
      <c r="A5" s="16" t="s">
        <v>19</v>
      </c>
      <c r="B5" s="14">
        <v>4590</v>
      </c>
      <c r="C5" s="14">
        <v>158.27586206896552</v>
      </c>
    </row>
    <row r="6" spans="1:3">
      <c r="A6" s="16" t="s">
        <v>21</v>
      </c>
      <c r="B6" s="14">
        <v>4050</v>
      </c>
      <c r="C6" s="14">
        <v>184.09090909090909</v>
      </c>
    </row>
    <row r="7" spans="1:3">
      <c r="A7" s="16" t="s">
        <v>43</v>
      </c>
      <c r="B7" s="14">
        <v>12650</v>
      </c>
      <c r="C7" s="14">
        <v>162.17948717948718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DAAD7-E391-492A-BD50-FD564D98D5DF}">
  <dimension ref="A3:D7"/>
  <sheetViews>
    <sheetView topLeftCell="A5" workbookViewId="0">
      <selection activeCell="E23" sqref="E23:E25"/>
    </sheetView>
  </sheetViews>
  <sheetFormatPr defaultRowHeight="15.5"/>
  <cols>
    <col min="1" max="1" width="12.33203125" bestFit="1" customWidth="1"/>
    <col min="2" max="2" width="19.08203125" bestFit="1" customWidth="1"/>
    <col min="3" max="3" width="20" bestFit="1" customWidth="1"/>
    <col min="4" max="4" width="19.75" bestFit="1" customWidth="1"/>
  </cols>
  <sheetData>
    <row r="3" spans="1:4">
      <c r="A3" s="15" t="s">
        <v>42</v>
      </c>
      <c r="B3" t="s">
        <v>40</v>
      </c>
      <c r="C3" t="s">
        <v>45</v>
      </c>
      <c r="D3" t="s">
        <v>46</v>
      </c>
    </row>
    <row r="4" spans="1:4">
      <c r="A4" s="16" t="s">
        <v>20</v>
      </c>
      <c r="B4" s="14">
        <v>4010</v>
      </c>
      <c r="C4" s="14">
        <v>300</v>
      </c>
      <c r="D4" s="14">
        <v>50</v>
      </c>
    </row>
    <row r="5" spans="1:4">
      <c r="A5" s="16" t="s">
        <v>19</v>
      </c>
      <c r="B5" s="14">
        <v>4590</v>
      </c>
      <c r="C5" s="14">
        <v>375</v>
      </c>
      <c r="D5" s="14">
        <v>40</v>
      </c>
    </row>
    <row r="6" spans="1:4">
      <c r="A6" s="16" t="s">
        <v>21</v>
      </c>
      <c r="B6" s="14">
        <v>4050</v>
      </c>
      <c r="C6" s="14">
        <v>600</v>
      </c>
      <c r="D6" s="14">
        <v>45</v>
      </c>
    </row>
    <row r="7" spans="1:4">
      <c r="A7" s="16" t="s">
        <v>43</v>
      </c>
      <c r="B7" s="14">
        <v>12650</v>
      </c>
      <c r="C7" s="14">
        <v>600</v>
      </c>
      <c r="D7" s="14">
        <v>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A267E-9B53-4AA2-976A-BFF8F9CD803C}">
  <dimension ref="A3:B16"/>
  <sheetViews>
    <sheetView workbookViewId="0">
      <selection activeCell="P21" sqref="P21"/>
    </sheetView>
  </sheetViews>
  <sheetFormatPr defaultRowHeight="15.5"/>
  <cols>
    <col min="1" max="1" width="12.33203125" bestFit="1" customWidth="1"/>
    <col min="2" max="3" width="18" bestFit="1" customWidth="1"/>
  </cols>
  <sheetData>
    <row r="3" spans="1:2">
      <c r="A3" s="15" t="s">
        <v>42</v>
      </c>
      <c r="B3" t="s">
        <v>47</v>
      </c>
    </row>
    <row r="4" spans="1:2">
      <c r="A4" s="16" t="s">
        <v>24</v>
      </c>
      <c r="B4">
        <v>33</v>
      </c>
    </row>
    <row r="5" spans="1:2">
      <c r="A5" s="17" t="s">
        <v>20</v>
      </c>
      <c r="B5">
        <v>8</v>
      </c>
    </row>
    <row r="6" spans="1:2">
      <c r="A6" s="17" t="s">
        <v>19</v>
      </c>
      <c r="B6">
        <v>14</v>
      </c>
    </row>
    <row r="7" spans="1:2">
      <c r="A7" s="17" t="s">
        <v>21</v>
      </c>
      <c r="B7">
        <v>11</v>
      </c>
    </row>
    <row r="8" spans="1:2">
      <c r="A8" s="16" t="s">
        <v>22</v>
      </c>
      <c r="B8">
        <v>57</v>
      </c>
    </row>
    <row r="9" spans="1:2">
      <c r="A9" s="17" t="s">
        <v>20</v>
      </c>
      <c r="B9">
        <v>12</v>
      </c>
    </row>
    <row r="10" spans="1:2">
      <c r="A10" s="17" t="s">
        <v>19</v>
      </c>
      <c r="B10">
        <v>22</v>
      </c>
    </row>
    <row r="11" spans="1:2">
      <c r="A11" s="17" t="s">
        <v>21</v>
      </c>
      <c r="B11">
        <v>23</v>
      </c>
    </row>
    <row r="12" spans="1:2">
      <c r="A12" s="16" t="s">
        <v>23</v>
      </c>
      <c r="B12">
        <v>50</v>
      </c>
    </row>
    <row r="13" spans="1:2">
      <c r="A13" s="17" t="s">
        <v>20</v>
      </c>
      <c r="B13">
        <v>25</v>
      </c>
    </row>
    <row r="14" spans="1:2">
      <c r="A14" s="17" t="s">
        <v>19</v>
      </c>
      <c r="B14">
        <v>19</v>
      </c>
    </row>
    <row r="15" spans="1:2">
      <c r="A15" s="17" t="s">
        <v>21</v>
      </c>
      <c r="B15">
        <v>6</v>
      </c>
    </row>
    <row r="16" spans="1:2">
      <c r="A16" s="16" t="s">
        <v>43</v>
      </c>
      <c r="B16">
        <v>140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4126C-6633-4363-B20F-AC80B836D37B}">
  <dimension ref="A3:E56"/>
  <sheetViews>
    <sheetView workbookViewId="0">
      <selection activeCell="A3" sqref="A3"/>
    </sheetView>
  </sheetViews>
  <sheetFormatPr defaultRowHeight="15.5"/>
  <cols>
    <col min="1" max="1" width="14.25" bestFit="1" customWidth="1"/>
    <col min="2" max="2" width="18.83203125" bestFit="1" customWidth="1"/>
    <col min="3" max="3" width="18" bestFit="1" customWidth="1"/>
    <col min="4" max="4" width="19.08203125" bestFit="1" customWidth="1"/>
    <col min="5" max="5" width="12.58203125" bestFit="1" customWidth="1"/>
    <col min="6" max="8" width="7.58203125" bestFit="1" customWidth="1"/>
    <col min="9" max="24" width="8.58203125" bestFit="1" customWidth="1"/>
    <col min="25" max="25" width="18" bestFit="1" customWidth="1"/>
    <col min="26" max="31" width="7.58203125" bestFit="1" customWidth="1"/>
    <col min="32" max="47" width="8.58203125" bestFit="1" customWidth="1"/>
    <col min="48" max="48" width="12.58203125" bestFit="1" customWidth="1"/>
    <col min="49" max="54" width="7.58203125" bestFit="1" customWidth="1"/>
    <col min="55" max="70" width="8.58203125" bestFit="1" customWidth="1"/>
    <col min="71" max="71" width="23.83203125" bestFit="1" customWidth="1"/>
    <col min="72" max="72" width="23" bestFit="1" customWidth="1"/>
    <col min="73" max="73" width="17.75" bestFit="1" customWidth="1"/>
  </cols>
  <sheetData>
    <row r="3" spans="1:5">
      <c r="A3" s="15" t="s">
        <v>42</v>
      </c>
      <c r="B3" t="s">
        <v>41</v>
      </c>
      <c r="C3" t="s">
        <v>47</v>
      </c>
      <c r="D3" t="s">
        <v>40</v>
      </c>
      <c r="E3" t="s">
        <v>48</v>
      </c>
    </row>
    <row r="4" spans="1:5">
      <c r="A4" s="20">
        <v>44743</v>
      </c>
      <c r="B4">
        <v>3</v>
      </c>
      <c r="C4">
        <v>3</v>
      </c>
      <c r="D4" s="14">
        <v>210</v>
      </c>
      <c r="E4">
        <v>3</v>
      </c>
    </row>
    <row r="5" spans="1:5">
      <c r="A5" s="17" t="s">
        <v>15</v>
      </c>
      <c r="B5">
        <v>3</v>
      </c>
      <c r="C5">
        <v>3</v>
      </c>
      <c r="D5" s="14">
        <v>210</v>
      </c>
      <c r="E5">
        <v>3</v>
      </c>
    </row>
    <row r="6" spans="1:5">
      <c r="A6" s="20">
        <v>44744</v>
      </c>
      <c r="B6">
        <v>3</v>
      </c>
      <c r="C6">
        <v>4</v>
      </c>
      <c r="D6" s="14">
        <v>230</v>
      </c>
      <c r="E6">
        <v>3</v>
      </c>
    </row>
    <row r="7" spans="1:5">
      <c r="A7" s="17" t="s">
        <v>16</v>
      </c>
      <c r="B7">
        <v>3</v>
      </c>
      <c r="C7">
        <v>4</v>
      </c>
      <c r="D7" s="14">
        <v>230</v>
      </c>
      <c r="E7">
        <v>3</v>
      </c>
    </row>
    <row r="8" spans="1:5">
      <c r="A8" s="20">
        <v>44746</v>
      </c>
      <c r="B8">
        <v>4</v>
      </c>
      <c r="C8">
        <v>7</v>
      </c>
      <c r="D8" s="14">
        <v>380</v>
      </c>
      <c r="E8">
        <v>4</v>
      </c>
    </row>
    <row r="9" spans="1:5">
      <c r="A9" s="17" t="s">
        <v>13</v>
      </c>
      <c r="B9">
        <v>4</v>
      </c>
      <c r="C9">
        <v>7</v>
      </c>
      <c r="D9" s="14">
        <v>380</v>
      </c>
      <c r="E9">
        <v>4</v>
      </c>
    </row>
    <row r="10" spans="1:5">
      <c r="A10" s="20">
        <v>44747</v>
      </c>
      <c r="B10">
        <v>2</v>
      </c>
      <c r="C10">
        <v>5</v>
      </c>
      <c r="D10" s="14">
        <v>240</v>
      </c>
      <c r="E10">
        <v>2</v>
      </c>
    </row>
    <row r="11" spans="1:5">
      <c r="A11" s="17" t="s">
        <v>14</v>
      </c>
      <c r="B11">
        <v>2</v>
      </c>
      <c r="C11">
        <v>5</v>
      </c>
      <c r="D11" s="14">
        <v>240</v>
      </c>
      <c r="E11">
        <v>2</v>
      </c>
    </row>
    <row r="12" spans="1:5">
      <c r="A12" s="20">
        <v>44748</v>
      </c>
      <c r="B12">
        <v>2</v>
      </c>
      <c r="C12">
        <v>5</v>
      </c>
      <c r="D12" s="14">
        <v>300</v>
      </c>
      <c r="E12">
        <v>2</v>
      </c>
    </row>
    <row r="13" spans="1:5">
      <c r="A13" s="17" t="s">
        <v>17</v>
      </c>
      <c r="B13">
        <v>2</v>
      </c>
      <c r="C13">
        <v>5</v>
      </c>
      <c r="D13" s="14">
        <v>300</v>
      </c>
      <c r="E13">
        <v>2</v>
      </c>
    </row>
    <row r="14" spans="1:5">
      <c r="A14" s="20">
        <v>44749</v>
      </c>
      <c r="B14">
        <v>3</v>
      </c>
      <c r="C14">
        <v>4</v>
      </c>
      <c r="D14" s="14">
        <v>500</v>
      </c>
      <c r="E14">
        <v>3</v>
      </c>
    </row>
    <row r="15" spans="1:5">
      <c r="A15" s="17" t="s">
        <v>18</v>
      </c>
      <c r="B15">
        <v>3</v>
      </c>
      <c r="C15">
        <v>4</v>
      </c>
      <c r="D15" s="14">
        <v>500</v>
      </c>
      <c r="E15">
        <v>3</v>
      </c>
    </row>
    <row r="16" spans="1:5">
      <c r="A16" s="20">
        <v>44750</v>
      </c>
      <c r="B16">
        <v>3</v>
      </c>
      <c r="C16">
        <v>7</v>
      </c>
      <c r="D16" s="14">
        <v>550</v>
      </c>
      <c r="E16">
        <v>3</v>
      </c>
    </row>
    <row r="17" spans="1:5">
      <c r="A17" s="17" t="s">
        <v>15</v>
      </c>
      <c r="B17">
        <v>3</v>
      </c>
      <c r="C17">
        <v>7</v>
      </c>
      <c r="D17" s="14">
        <v>550</v>
      </c>
      <c r="E17">
        <v>3</v>
      </c>
    </row>
    <row r="18" spans="1:5">
      <c r="A18" s="20">
        <v>44751</v>
      </c>
      <c r="B18">
        <v>2</v>
      </c>
      <c r="C18">
        <v>3</v>
      </c>
      <c r="D18" s="14">
        <v>250</v>
      </c>
      <c r="E18">
        <v>2</v>
      </c>
    </row>
    <row r="19" spans="1:5">
      <c r="A19" s="17" t="s">
        <v>16</v>
      </c>
      <c r="B19">
        <v>2</v>
      </c>
      <c r="C19">
        <v>3</v>
      </c>
      <c r="D19" s="14">
        <v>250</v>
      </c>
      <c r="E19">
        <v>2</v>
      </c>
    </row>
    <row r="20" spans="1:5">
      <c r="A20" s="20">
        <v>44753</v>
      </c>
      <c r="B20">
        <v>3</v>
      </c>
      <c r="C20">
        <v>7</v>
      </c>
      <c r="D20" s="14">
        <v>560</v>
      </c>
      <c r="E20">
        <v>3</v>
      </c>
    </row>
    <row r="21" spans="1:5">
      <c r="A21" s="17" t="s">
        <v>13</v>
      </c>
      <c r="B21">
        <v>3</v>
      </c>
      <c r="C21">
        <v>7</v>
      </c>
      <c r="D21" s="14">
        <v>560</v>
      </c>
      <c r="E21">
        <v>3</v>
      </c>
    </row>
    <row r="22" spans="1:5">
      <c r="A22" s="20">
        <v>44754</v>
      </c>
      <c r="B22">
        <v>2</v>
      </c>
      <c r="C22">
        <v>5</v>
      </c>
      <c r="D22" s="14">
        <v>800</v>
      </c>
      <c r="E22">
        <v>2</v>
      </c>
    </row>
    <row r="23" spans="1:5">
      <c r="A23" s="17" t="s">
        <v>14</v>
      </c>
      <c r="B23">
        <v>2</v>
      </c>
      <c r="C23">
        <v>5</v>
      </c>
      <c r="D23" s="14">
        <v>800</v>
      </c>
      <c r="E23">
        <v>2</v>
      </c>
    </row>
    <row r="24" spans="1:5">
      <c r="A24" s="20">
        <v>44755</v>
      </c>
      <c r="B24">
        <v>2</v>
      </c>
      <c r="C24">
        <v>2</v>
      </c>
      <c r="D24" s="14">
        <v>200</v>
      </c>
      <c r="E24">
        <v>2</v>
      </c>
    </row>
    <row r="25" spans="1:5">
      <c r="A25" s="17" t="s">
        <v>17</v>
      </c>
      <c r="B25">
        <v>2</v>
      </c>
      <c r="C25">
        <v>2</v>
      </c>
      <c r="D25" s="14">
        <v>200</v>
      </c>
      <c r="E25">
        <v>2</v>
      </c>
    </row>
    <row r="26" spans="1:5">
      <c r="A26" s="20">
        <v>44756</v>
      </c>
      <c r="B26">
        <v>3</v>
      </c>
      <c r="C26">
        <v>4</v>
      </c>
      <c r="D26" s="14">
        <v>250</v>
      </c>
      <c r="E26">
        <v>3</v>
      </c>
    </row>
    <row r="27" spans="1:5">
      <c r="A27" s="17" t="s">
        <v>18</v>
      </c>
      <c r="B27">
        <v>3</v>
      </c>
      <c r="C27">
        <v>4</v>
      </c>
      <c r="D27" s="14">
        <v>250</v>
      </c>
      <c r="E27">
        <v>3</v>
      </c>
    </row>
    <row r="28" spans="1:5">
      <c r="A28" s="20">
        <v>44757</v>
      </c>
      <c r="B28">
        <v>4</v>
      </c>
      <c r="C28">
        <v>6</v>
      </c>
      <c r="D28" s="14">
        <v>600</v>
      </c>
      <c r="E28">
        <v>4</v>
      </c>
    </row>
    <row r="29" spans="1:5">
      <c r="A29" s="17" t="s">
        <v>15</v>
      </c>
      <c r="B29">
        <v>4</v>
      </c>
      <c r="C29">
        <v>6</v>
      </c>
      <c r="D29" s="14">
        <v>600</v>
      </c>
      <c r="E29">
        <v>4</v>
      </c>
    </row>
    <row r="30" spans="1:5">
      <c r="A30" s="20">
        <v>44758</v>
      </c>
      <c r="B30">
        <v>4</v>
      </c>
      <c r="C30">
        <v>6</v>
      </c>
      <c r="D30" s="14">
        <v>525</v>
      </c>
      <c r="E30">
        <v>4</v>
      </c>
    </row>
    <row r="31" spans="1:5">
      <c r="A31" s="17" t="s">
        <v>16</v>
      </c>
      <c r="B31">
        <v>4</v>
      </c>
      <c r="C31">
        <v>6</v>
      </c>
      <c r="D31" s="14">
        <v>525</v>
      </c>
      <c r="E31">
        <v>4</v>
      </c>
    </row>
    <row r="32" spans="1:5">
      <c r="A32" s="20">
        <v>44760</v>
      </c>
      <c r="B32">
        <v>2</v>
      </c>
      <c r="C32">
        <v>3</v>
      </c>
      <c r="D32" s="14">
        <v>290</v>
      </c>
      <c r="E32">
        <v>2</v>
      </c>
    </row>
    <row r="33" spans="1:5">
      <c r="A33" s="17" t="s">
        <v>13</v>
      </c>
      <c r="B33">
        <v>2</v>
      </c>
      <c r="C33">
        <v>3</v>
      </c>
      <c r="D33" s="14">
        <v>290</v>
      </c>
      <c r="E33">
        <v>2</v>
      </c>
    </row>
    <row r="34" spans="1:5">
      <c r="A34" s="20">
        <v>44761</v>
      </c>
      <c r="B34">
        <v>3</v>
      </c>
      <c r="C34">
        <v>7</v>
      </c>
      <c r="D34" s="14">
        <v>900</v>
      </c>
      <c r="E34">
        <v>3</v>
      </c>
    </row>
    <row r="35" spans="1:5">
      <c r="A35" s="17" t="s">
        <v>14</v>
      </c>
      <c r="B35">
        <v>3</v>
      </c>
      <c r="C35">
        <v>7</v>
      </c>
      <c r="D35" s="14">
        <v>900</v>
      </c>
      <c r="E35">
        <v>3</v>
      </c>
    </row>
    <row r="36" spans="1:5">
      <c r="A36" s="20">
        <v>44762</v>
      </c>
      <c r="B36">
        <v>5</v>
      </c>
      <c r="C36">
        <v>9</v>
      </c>
      <c r="D36" s="14">
        <v>675</v>
      </c>
      <c r="E36">
        <v>5</v>
      </c>
    </row>
    <row r="37" spans="1:5">
      <c r="A37" s="17" t="s">
        <v>17</v>
      </c>
      <c r="B37">
        <v>5</v>
      </c>
      <c r="C37">
        <v>9</v>
      </c>
      <c r="D37" s="14">
        <v>675</v>
      </c>
      <c r="E37">
        <v>5</v>
      </c>
    </row>
    <row r="38" spans="1:5">
      <c r="A38" s="20">
        <v>44763</v>
      </c>
      <c r="B38">
        <v>3</v>
      </c>
      <c r="C38">
        <v>4</v>
      </c>
      <c r="D38" s="14">
        <v>360</v>
      </c>
      <c r="E38">
        <v>3</v>
      </c>
    </row>
    <row r="39" spans="1:5">
      <c r="A39" s="17" t="s">
        <v>18</v>
      </c>
      <c r="B39">
        <v>3</v>
      </c>
      <c r="C39">
        <v>4</v>
      </c>
      <c r="D39" s="14">
        <v>360</v>
      </c>
      <c r="E39">
        <v>3</v>
      </c>
    </row>
    <row r="40" spans="1:5">
      <c r="A40" s="20">
        <v>44764</v>
      </c>
      <c r="B40">
        <v>5</v>
      </c>
      <c r="C40">
        <v>12</v>
      </c>
      <c r="D40" s="14">
        <v>810</v>
      </c>
      <c r="E40">
        <v>5</v>
      </c>
    </row>
    <row r="41" spans="1:5">
      <c r="A41" s="17" t="s">
        <v>15</v>
      </c>
      <c r="B41">
        <v>5</v>
      </c>
      <c r="C41">
        <v>12</v>
      </c>
      <c r="D41" s="14">
        <v>810</v>
      </c>
      <c r="E41">
        <v>5</v>
      </c>
    </row>
    <row r="42" spans="1:5">
      <c r="A42" s="20">
        <v>44765</v>
      </c>
      <c r="B42">
        <v>5</v>
      </c>
      <c r="C42">
        <v>9</v>
      </c>
      <c r="D42" s="14">
        <v>975</v>
      </c>
      <c r="E42">
        <v>5</v>
      </c>
    </row>
    <row r="43" spans="1:5">
      <c r="A43" s="17" t="s">
        <v>16</v>
      </c>
      <c r="B43">
        <v>5</v>
      </c>
      <c r="C43">
        <v>9</v>
      </c>
      <c r="D43" s="14">
        <v>975</v>
      </c>
      <c r="E43">
        <v>5</v>
      </c>
    </row>
    <row r="44" spans="1:5">
      <c r="A44" s="20">
        <v>44767</v>
      </c>
      <c r="B44">
        <v>2</v>
      </c>
      <c r="C44">
        <v>5</v>
      </c>
      <c r="D44" s="14">
        <v>675</v>
      </c>
      <c r="E44">
        <v>2</v>
      </c>
    </row>
    <row r="45" spans="1:5">
      <c r="A45" s="17" t="s">
        <v>13</v>
      </c>
      <c r="B45">
        <v>2</v>
      </c>
      <c r="C45">
        <v>5</v>
      </c>
      <c r="D45" s="14">
        <v>675</v>
      </c>
      <c r="E45">
        <v>2</v>
      </c>
    </row>
    <row r="46" spans="1:5">
      <c r="A46" s="20">
        <v>44768</v>
      </c>
      <c r="B46">
        <v>2</v>
      </c>
      <c r="C46">
        <v>2</v>
      </c>
      <c r="D46" s="14">
        <v>175</v>
      </c>
      <c r="E46">
        <v>2</v>
      </c>
    </row>
    <row r="47" spans="1:5">
      <c r="A47" s="17" t="s">
        <v>14</v>
      </c>
      <c r="B47">
        <v>2</v>
      </c>
      <c r="C47">
        <v>2</v>
      </c>
      <c r="D47" s="14">
        <v>175</v>
      </c>
      <c r="E47">
        <v>2</v>
      </c>
    </row>
    <row r="48" spans="1:5">
      <c r="A48" s="20">
        <v>44769</v>
      </c>
      <c r="B48">
        <v>2</v>
      </c>
      <c r="C48">
        <v>4</v>
      </c>
      <c r="D48" s="14">
        <v>370</v>
      </c>
      <c r="E48">
        <v>2</v>
      </c>
    </row>
    <row r="49" spans="1:5">
      <c r="A49" s="17" t="s">
        <v>17</v>
      </c>
      <c r="B49">
        <v>2</v>
      </c>
      <c r="C49">
        <v>4</v>
      </c>
      <c r="D49" s="14">
        <v>370</v>
      </c>
      <c r="E49">
        <v>2</v>
      </c>
    </row>
    <row r="50" spans="1:5">
      <c r="A50" s="20">
        <v>44770</v>
      </c>
      <c r="B50">
        <v>2</v>
      </c>
      <c r="C50">
        <v>3</v>
      </c>
      <c r="D50" s="14">
        <v>500</v>
      </c>
      <c r="E50">
        <v>2</v>
      </c>
    </row>
    <row r="51" spans="1:5">
      <c r="A51" s="17" t="s">
        <v>18</v>
      </c>
      <c r="B51">
        <v>2</v>
      </c>
      <c r="C51">
        <v>3</v>
      </c>
      <c r="D51" s="14">
        <v>500</v>
      </c>
      <c r="E51">
        <v>2</v>
      </c>
    </row>
    <row r="52" spans="1:5">
      <c r="A52" s="20">
        <v>44771</v>
      </c>
      <c r="B52">
        <v>3</v>
      </c>
      <c r="C52">
        <v>6</v>
      </c>
      <c r="D52" s="14">
        <v>450</v>
      </c>
      <c r="E52">
        <v>3</v>
      </c>
    </row>
    <row r="53" spans="1:5">
      <c r="A53" s="17" t="s">
        <v>15</v>
      </c>
      <c r="B53">
        <v>3</v>
      </c>
      <c r="C53">
        <v>6</v>
      </c>
      <c r="D53" s="14">
        <v>450</v>
      </c>
      <c r="E53">
        <v>3</v>
      </c>
    </row>
    <row r="54" spans="1:5">
      <c r="A54" s="20">
        <v>44772</v>
      </c>
      <c r="B54">
        <v>4</v>
      </c>
      <c r="C54">
        <v>8</v>
      </c>
      <c r="D54" s="14">
        <v>875</v>
      </c>
      <c r="E54">
        <v>4</v>
      </c>
    </row>
    <row r="55" spans="1:5">
      <c r="A55" s="17" t="s">
        <v>16</v>
      </c>
      <c r="B55">
        <v>4</v>
      </c>
      <c r="C55">
        <v>8</v>
      </c>
      <c r="D55" s="14">
        <v>875</v>
      </c>
      <c r="E55">
        <v>4</v>
      </c>
    </row>
    <row r="56" spans="1:5">
      <c r="A56" s="20" t="s">
        <v>43</v>
      </c>
      <c r="B56">
        <v>78</v>
      </c>
      <c r="C56">
        <v>140</v>
      </c>
      <c r="D56" s="14">
        <v>12650</v>
      </c>
      <c r="E56">
        <v>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CDBEA-D78C-4CF1-BE6C-7753C273727D}">
  <dimension ref="A3:C186"/>
  <sheetViews>
    <sheetView workbookViewId="0">
      <selection activeCell="A3" sqref="A3"/>
    </sheetView>
  </sheetViews>
  <sheetFormatPr defaultRowHeight="15.5"/>
  <cols>
    <col min="1" max="1" width="15.33203125" bestFit="1" customWidth="1"/>
    <col min="2" max="2" width="19.08203125" bestFit="1" customWidth="1"/>
    <col min="3" max="3" width="18" bestFit="1" customWidth="1"/>
  </cols>
  <sheetData>
    <row r="3" spans="1:3">
      <c r="A3" s="15" t="s">
        <v>42</v>
      </c>
      <c r="B3" t="s">
        <v>40</v>
      </c>
      <c r="C3" t="s">
        <v>47</v>
      </c>
    </row>
    <row r="4" spans="1:3">
      <c r="A4" s="20">
        <v>44743</v>
      </c>
      <c r="B4" s="14">
        <v>210</v>
      </c>
      <c r="C4">
        <v>3</v>
      </c>
    </row>
    <row r="5" spans="1:3">
      <c r="A5" s="17" t="s">
        <v>15</v>
      </c>
      <c r="B5" s="14">
        <v>210</v>
      </c>
      <c r="C5">
        <v>3</v>
      </c>
    </row>
    <row r="6" spans="1:3">
      <c r="A6" s="18" t="s">
        <v>20</v>
      </c>
      <c r="B6" s="14">
        <v>50</v>
      </c>
      <c r="C6">
        <v>1</v>
      </c>
    </row>
    <row r="7" spans="1:3">
      <c r="A7" s="19" t="s">
        <v>23</v>
      </c>
      <c r="B7" s="14">
        <v>50</v>
      </c>
      <c r="C7">
        <v>1</v>
      </c>
    </row>
    <row r="8" spans="1:3">
      <c r="A8" s="18" t="s">
        <v>19</v>
      </c>
      <c r="B8" s="14">
        <v>60</v>
      </c>
      <c r="C8">
        <v>1</v>
      </c>
    </row>
    <row r="9" spans="1:3">
      <c r="A9" s="19" t="s">
        <v>22</v>
      </c>
      <c r="B9" s="14">
        <v>60</v>
      </c>
      <c r="C9">
        <v>1</v>
      </c>
    </row>
    <row r="10" spans="1:3">
      <c r="A10" s="18" t="s">
        <v>21</v>
      </c>
      <c r="B10" s="14">
        <v>100</v>
      </c>
      <c r="C10">
        <v>1</v>
      </c>
    </row>
    <row r="11" spans="1:3">
      <c r="A11" s="19" t="s">
        <v>22</v>
      </c>
      <c r="B11" s="14">
        <v>100</v>
      </c>
      <c r="C11">
        <v>1</v>
      </c>
    </row>
    <row r="12" spans="1:3">
      <c r="A12" s="20">
        <v>44744</v>
      </c>
      <c r="B12" s="14">
        <v>230</v>
      </c>
      <c r="C12">
        <v>4</v>
      </c>
    </row>
    <row r="13" spans="1:3">
      <c r="A13" s="17" t="s">
        <v>16</v>
      </c>
      <c r="B13" s="14">
        <v>230</v>
      </c>
      <c r="C13">
        <v>4</v>
      </c>
    </row>
    <row r="14" spans="1:3">
      <c r="A14" s="18" t="s">
        <v>19</v>
      </c>
      <c r="B14" s="14">
        <v>110</v>
      </c>
      <c r="C14">
        <v>2</v>
      </c>
    </row>
    <row r="15" spans="1:3">
      <c r="A15" s="19" t="s">
        <v>24</v>
      </c>
      <c r="B15" s="14">
        <v>110</v>
      </c>
      <c r="C15">
        <v>2</v>
      </c>
    </row>
    <row r="16" spans="1:3">
      <c r="A16" s="18" t="s">
        <v>21</v>
      </c>
      <c r="B16" s="14">
        <v>120</v>
      </c>
      <c r="C16">
        <v>2</v>
      </c>
    </row>
    <row r="17" spans="1:3">
      <c r="A17" s="19" t="s">
        <v>24</v>
      </c>
      <c r="B17" s="14">
        <v>45</v>
      </c>
      <c r="C17">
        <v>1</v>
      </c>
    </row>
    <row r="18" spans="1:3">
      <c r="A18" s="19" t="s">
        <v>22</v>
      </c>
      <c r="B18" s="14">
        <v>75</v>
      </c>
      <c r="C18">
        <v>1</v>
      </c>
    </row>
    <row r="19" spans="1:3">
      <c r="A19" s="20">
        <v>44746</v>
      </c>
      <c r="B19" s="14">
        <v>380</v>
      </c>
      <c r="C19">
        <v>7</v>
      </c>
    </row>
    <row r="20" spans="1:3">
      <c r="A20" s="17" t="s">
        <v>13</v>
      </c>
      <c r="B20" s="14">
        <v>380</v>
      </c>
      <c r="C20">
        <v>7</v>
      </c>
    </row>
    <row r="21" spans="1:3">
      <c r="A21" s="18" t="s">
        <v>20</v>
      </c>
      <c r="B21" s="14">
        <v>230</v>
      </c>
      <c r="C21">
        <v>4</v>
      </c>
    </row>
    <row r="22" spans="1:3">
      <c r="A22" s="19" t="s">
        <v>22</v>
      </c>
      <c r="B22" s="14">
        <v>100</v>
      </c>
      <c r="C22">
        <v>1</v>
      </c>
    </row>
    <row r="23" spans="1:3">
      <c r="A23" s="19" t="s">
        <v>23</v>
      </c>
      <c r="B23" s="14">
        <v>130</v>
      </c>
      <c r="C23">
        <v>3</v>
      </c>
    </row>
    <row r="24" spans="1:3">
      <c r="A24" s="18" t="s">
        <v>19</v>
      </c>
      <c r="B24" s="14">
        <v>150</v>
      </c>
      <c r="C24">
        <v>3</v>
      </c>
    </row>
    <row r="25" spans="1:3">
      <c r="A25" s="19" t="s">
        <v>22</v>
      </c>
      <c r="B25" s="14">
        <v>150</v>
      </c>
      <c r="C25">
        <v>3</v>
      </c>
    </row>
    <row r="26" spans="1:3">
      <c r="A26" s="20">
        <v>44747</v>
      </c>
      <c r="B26" s="14">
        <v>240</v>
      </c>
      <c r="C26">
        <v>5</v>
      </c>
    </row>
    <row r="27" spans="1:3">
      <c r="A27" s="17" t="s">
        <v>14</v>
      </c>
      <c r="B27" s="14">
        <v>240</v>
      </c>
      <c r="C27">
        <v>5</v>
      </c>
    </row>
    <row r="28" spans="1:3">
      <c r="A28" s="18" t="s">
        <v>19</v>
      </c>
      <c r="B28" s="14">
        <v>240</v>
      </c>
      <c r="C28">
        <v>5</v>
      </c>
    </row>
    <row r="29" spans="1:3">
      <c r="A29" s="19" t="s">
        <v>24</v>
      </c>
      <c r="B29" s="14">
        <v>120</v>
      </c>
      <c r="C29">
        <v>3</v>
      </c>
    </row>
    <row r="30" spans="1:3">
      <c r="A30" s="19" t="s">
        <v>22</v>
      </c>
      <c r="B30" s="14">
        <v>120</v>
      </c>
      <c r="C30">
        <v>2</v>
      </c>
    </row>
    <row r="31" spans="1:3">
      <c r="A31" s="20">
        <v>44748</v>
      </c>
      <c r="B31" s="14">
        <v>300</v>
      </c>
      <c r="C31">
        <v>5</v>
      </c>
    </row>
    <row r="32" spans="1:3">
      <c r="A32" s="17" t="s">
        <v>17</v>
      </c>
      <c r="B32" s="14">
        <v>300</v>
      </c>
      <c r="C32">
        <v>5</v>
      </c>
    </row>
    <row r="33" spans="1:3">
      <c r="A33" s="18" t="s">
        <v>21</v>
      </c>
      <c r="B33" s="14">
        <v>300</v>
      </c>
      <c r="C33">
        <v>5</v>
      </c>
    </row>
    <row r="34" spans="1:3">
      <c r="A34" s="19" t="s">
        <v>22</v>
      </c>
      <c r="B34" s="14">
        <v>150</v>
      </c>
      <c r="C34">
        <v>2</v>
      </c>
    </row>
    <row r="35" spans="1:3">
      <c r="A35" s="19" t="s">
        <v>23</v>
      </c>
      <c r="B35" s="14">
        <v>150</v>
      </c>
      <c r="C35">
        <v>3</v>
      </c>
    </row>
    <row r="36" spans="1:3">
      <c r="A36" s="20">
        <v>44749</v>
      </c>
      <c r="B36" s="14">
        <v>500</v>
      </c>
      <c r="C36">
        <v>4</v>
      </c>
    </row>
    <row r="37" spans="1:3">
      <c r="A37" s="17" t="s">
        <v>18</v>
      </c>
      <c r="B37" s="14">
        <v>500</v>
      </c>
      <c r="C37">
        <v>4</v>
      </c>
    </row>
    <row r="38" spans="1:3">
      <c r="A38" s="18" t="s">
        <v>20</v>
      </c>
      <c r="B38" s="14">
        <v>350</v>
      </c>
      <c r="C38">
        <v>3</v>
      </c>
    </row>
    <row r="39" spans="1:3">
      <c r="A39" s="19" t="s">
        <v>22</v>
      </c>
      <c r="B39" s="14">
        <v>150</v>
      </c>
      <c r="C39">
        <v>1</v>
      </c>
    </row>
    <row r="40" spans="1:3">
      <c r="A40" s="19" t="s">
        <v>23</v>
      </c>
      <c r="B40" s="14">
        <v>200</v>
      </c>
      <c r="C40">
        <v>2</v>
      </c>
    </row>
    <row r="41" spans="1:3">
      <c r="A41" s="18" t="s">
        <v>19</v>
      </c>
      <c r="B41" s="14">
        <v>150</v>
      </c>
      <c r="C41">
        <v>1</v>
      </c>
    </row>
    <row r="42" spans="1:3">
      <c r="A42" s="19" t="s">
        <v>22</v>
      </c>
      <c r="B42" s="14">
        <v>150</v>
      </c>
      <c r="C42">
        <v>1</v>
      </c>
    </row>
    <row r="43" spans="1:3">
      <c r="A43" s="20">
        <v>44750</v>
      </c>
      <c r="B43" s="14">
        <v>550</v>
      </c>
      <c r="C43">
        <v>7</v>
      </c>
    </row>
    <row r="44" spans="1:3">
      <c r="A44" s="17" t="s">
        <v>15</v>
      </c>
      <c r="B44" s="14">
        <v>550</v>
      </c>
      <c r="C44">
        <v>7</v>
      </c>
    </row>
    <row r="45" spans="1:3">
      <c r="A45" s="18" t="s">
        <v>19</v>
      </c>
      <c r="B45" s="14">
        <v>450</v>
      </c>
      <c r="C45">
        <v>5</v>
      </c>
    </row>
    <row r="46" spans="1:3">
      <c r="A46" s="19" t="s">
        <v>22</v>
      </c>
      <c r="B46" s="14">
        <v>250</v>
      </c>
      <c r="C46">
        <v>1</v>
      </c>
    </row>
    <row r="47" spans="1:3">
      <c r="A47" s="19" t="s">
        <v>23</v>
      </c>
      <c r="B47" s="14">
        <v>200</v>
      </c>
      <c r="C47">
        <v>4</v>
      </c>
    </row>
    <row r="48" spans="1:3">
      <c r="A48" s="18" t="s">
        <v>21</v>
      </c>
      <c r="B48" s="14">
        <v>100</v>
      </c>
      <c r="C48">
        <v>2</v>
      </c>
    </row>
    <row r="49" spans="1:3">
      <c r="A49" s="19" t="s">
        <v>24</v>
      </c>
      <c r="B49" s="14">
        <v>100</v>
      </c>
      <c r="C49">
        <v>2</v>
      </c>
    </row>
    <row r="50" spans="1:3">
      <c r="A50" s="20">
        <v>44751</v>
      </c>
      <c r="B50" s="14">
        <v>250</v>
      </c>
      <c r="C50">
        <v>3</v>
      </c>
    </row>
    <row r="51" spans="1:3">
      <c r="A51" s="17" t="s">
        <v>16</v>
      </c>
      <c r="B51" s="14">
        <v>250</v>
      </c>
      <c r="C51">
        <v>3</v>
      </c>
    </row>
    <row r="52" spans="1:3">
      <c r="A52" s="18" t="s">
        <v>20</v>
      </c>
      <c r="B52" s="14">
        <v>110</v>
      </c>
      <c r="C52">
        <v>2</v>
      </c>
    </row>
    <row r="53" spans="1:3">
      <c r="A53" s="19" t="s">
        <v>23</v>
      </c>
      <c r="B53" s="14">
        <v>110</v>
      </c>
      <c r="C53">
        <v>2</v>
      </c>
    </row>
    <row r="54" spans="1:3">
      <c r="A54" s="18" t="s">
        <v>19</v>
      </c>
      <c r="B54" s="14">
        <v>140</v>
      </c>
      <c r="C54">
        <v>1</v>
      </c>
    </row>
    <row r="55" spans="1:3">
      <c r="A55" s="19" t="s">
        <v>22</v>
      </c>
      <c r="B55" s="14">
        <v>140</v>
      </c>
      <c r="C55">
        <v>1</v>
      </c>
    </row>
    <row r="56" spans="1:3">
      <c r="A56" s="20">
        <v>44753</v>
      </c>
      <c r="B56" s="14">
        <v>560</v>
      </c>
      <c r="C56">
        <v>7</v>
      </c>
    </row>
    <row r="57" spans="1:3">
      <c r="A57" s="17" t="s">
        <v>13</v>
      </c>
      <c r="B57" s="14">
        <v>560</v>
      </c>
      <c r="C57">
        <v>7</v>
      </c>
    </row>
    <row r="58" spans="1:3">
      <c r="A58" s="18" t="s">
        <v>20</v>
      </c>
      <c r="B58" s="14">
        <v>130</v>
      </c>
      <c r="C58">
        <v>2</v>
      </c>
    </row>
    <row r="59" spans="1:3">
      <c r="A59" s="19" t="s">
        <v>24</v>
      </c>
      <c r="B59" s="14">
        <v>130</v>
      </c>
      <c r="C59">
        <v>2</v>
      </c>
    </row>
    <row r="60" spans="1:3">
      <c r="A60" s="18" t="s">
        <v>19</v>
      </c>
      <c r="B60" s="14">
        <v>300</v>
      </c>
      <c r="C60">
        <v>3</v>
      </c>
    </row>
    <row r="61" spans="1:3">
      <c r="A61" s="19" t="s">
        <v>22</v>
      </c>
      <c r="B61" s="14">
        <v>300</v>
      </c>
      <c r="C61">
        <v>3</v>
      </c>
    </row>
    <row r="62" spans="1:3">
      <c r="A62" s="18" t="s">
        <v>21</v>
      </c>
      <c r="B62" s="14">
        <v>130</v>
      </c>
      <c r="C62">
        <v>2</v>
      </c>
    </row>
    <row r="63" spans="1:3">
      <c r="A63" s="19" t="s">
        <v>24</v>
      </c>
      <c r="B63" s="14">
        <v>130</v>
      </c>
      <c r="C63">
        <v>2</v>
      </c>
    </row>
    <row r="64" spans="1:3">
      <c r="A64" s="20">
        <v>44754</v>
      </c>
      <c r="B64" s="14">
        <v>800</v>
      </c>
      <c r="C64">
        <v>5</v>
      </c>
    </row>
    <row r="65" spans="1:3">
      <c r="A65" s="17" t="s">
        <v>14</v>
      </c>
      <c r="B65" s="14">
        <v>800</v>
      </c>
      <c r="C65">
        <v>5</v>
      </c>
    </row>
    <row r="66" spans="1:3">
      <c r="A66" s="18" t="s">
        <v>19</v>
      </c>
      <c r="B66" s="14">
        <v>200</v>
      </c>
      <c r="C66">
        <v>2</v>
      </c>
    </row>
    <row r="67" spans="1:3">
      <c r="A67" s="19" t="s">
        <v>23</v>
      </c>
      <c r="B67" s="14">
        <v>200</v>
      </c>
      <c r="C67">
        <v>2</v>
      </c>
    </row>
    <row r="68" spans="1:3">
      <c r="A68" s="18" t="s">
        <v>21</v>
      </c>
      <c r="B68" s="14">
        <v>600</v>
      </c>
      <c r="C68">
        <v>3</v>
      </c>
    </row>
    <row r="69" spans="1:3">
      <c r="A69" s="19" t="s">
        <v>22</v>
      </c>
      <c r="B69" s="14">
        <v>600</v>
      </c>
      <c r="C69">
        <v>3</v>
      </c>
    </row>
    <row r="70" spans="1:3">
      <c r="A70" s="20">
        <v>44755</v>
      </c>
      <c r="B70" s="14">
        <v>200</v>
      </c>
      <c r="C70">
        <v>2</v>
      </c>
    </row>
    <row r="71" spans="1:3">
      <c r="A71" s="17" t="s">
        <v>17</v>
      </c>
      <c r="B71" s="14">
        <v>200</v>
      </c>
      <c r="C71">
        <v>2</v>
      </c>
    </row>
    <row r="72" spans="1:3">
      <c r="A72" s="18" t="s">
        <v>20</v>
      </c>
      <c r="B72" s="14">
        <v>200</v>
      </c>
      <c r="C72">
        <v>2</v>
      </c>
    </row>
    <row r="73" spans="1:3">
      <c r="A73" s="19" t="s">
        <v>22</v>
      </c>
      <c r="B73" s="14">
        <v>100</v>
      </c>
      <c r="C73">
        <v>1</v>
      </c>
    </row>
    <row r="74" spans="1:3">
      <c r="A74" s="19" t="s">
        <v>23</v>
      </c>
      <c r="B74" s="14">
        <v>100</v>
      </c>
      <c r="C74">
        <v>1</v>
      </c>
    </row>
    <row r="75" spans="1:3">
      <c r="A75" s="20">
        <v>44756</v>
      </c>
      <c r="B75" s="14">
        <v>250</v>
      </c>
      <c r="C75">
        <v>4</v>
      </c>
    </row>
    <row r="76" spans="1:3">
      <c r="A76" s="17" t="s">
        <v>18</v>
      </c>
      <c r="B76" s="14">
        <v>250</v>
      </c>
      <c r="C76">
        <v>4</v>
      </c>
    </row>
    <row r="77" spans="1:3">
      <c r="A77" s="18" t="s">
        <v>19</v>
      </c>
      <c r="B77" s="14">
        <v>150</v>
      </c>
      <c r="C77">
        <v>2</v>
      </c>
    </row>
    <row r="78" spans="1:3">
      <c r="A78" s="19" t="s">
        <v>23</v>
      </c>
      <c r="B78" s="14">
        <v>150</v>
      </c>
      <c r="C78">
        <v>2</v>
      </c>
    </row>
    <row r="79" spans="1:3">
      <c r="A79" s="18" t="s">
        <v>21</v>
      </c>
      <c r="B79" s="14">
        <v>100</v>
      </c>
      <c r="C79">
        <v>2</v>
      </c>
    </row>
    <row r="80" spans="1:3">
      <c r="A80" s="19" t="s">
        <v>24</v>
      </c>
      <c r="B80" s="14">
        <v>100</v>
      </c>
      <c r="C80">
        <v>2</v>
      </c>
    </row>
    <row r="81" spans="1:3">
      <c r="A81" s="20">
        <v>44757</v>
      </c>
      <c r="B81" s="14">
        <v>600</v>
      </c>
      <c r="C81">
        <v>6</v>
      </c>
    </row>
    <row r="82" spans="1:3">
      <c r="A82" s="17" t="s">
        <v>15</v>
      </c>
      <c r="B82" s="14">
        <v>600</v>
      </c>
      <c r="C82">
        <v>6</v>
      </c>
    </row>
    <row r="83" spans="1:3">
      <c r="A83" s="18" t="s">
        <v>20</v>
      </c>
      <c r="B83" s="14">
        <v>400</v>
      </c>
      <c r="C83">
        <v>4</v>
      </c>
    </row>
    <row r="84" spans="1:3">
      <c r="A84" s="19" t="s">
        <v>24</v>
      </c>
      <c r="B84" s="14">
        <v>100</v>
      </c>
      <c r="C84">
        <v>1</v>
      </c>
    </row>
    <row r="85" spans="1:3">
      <c r="A85" s="19" t="s">
        <v>22</v>
      </c>
      <c r="B85" s="14">
        <v>200</v>
      </c>
      <c r="C85">
        <v>1</v>
      </c>
    </row>
    <row r="86" spans="1:3">
      <c r="A86" s="19" t="s">
        <v>23</v>
      </c>
      <c r="B86" s="14">
        <v>100</v>
      </c>
      <c r="C86">
        <v>2</v>
      </c>
    </row>
    <row r="87" spans="1:3">
      <c r="A87" s="18" t="s">
        <v>19</v>
      </c>
      <c r="B87" s="14">
        <v>200</v>
      </c>
      <c r="C87">
        <v>2</v>
      </c>
    </row>
    <row r="88" spans="1:3">
      <c r="A88" s="19" t="s">
        <v>22</v>
      </c>
      <c r="B88" s="14">
        <v>200</v>
      </c>
      <c r="C88">
        <v>2</v>
      </c>
    </row>
    <row r="89" spans="1:3">
      <c r="A89" s="20">
        <v>44758</v>
      </c>
      <c r="B89" s="14">
        <v>525</v>
      </c>
      <c r="C89">
        <v>6</v>
      </c>
    </row>
    <row r="90" spans="1:3">
      <c r="A90" s="17" t="s">
        <v>16</v>
      </c>
      <c r="B90" s="14">
        <v>525</v>
      </c>
      <c r="C90">
        <v>6</v>
      </c>
    </row>
    <row r="91" spans="1:3">
      <c r="A91" s="18" t="s">
        <v>19</v>
      </c>
      <c r="B91" s="14">
        <v>225</v>
      </c>
      <c r="C91">
        <v>2</v>
      </c>
    </row>
    <row r="92" spans="1:3">
      <c r="A92" s="19" t="s">
        <v>22</v>
      </c>
      <c r="B92" s="14">
        <v>150</v>
      </c>
      <c r="C92">
        <v>1</v>
      </c>
    </row>
    <row r="93" spans="1:3">
      <c r="A93" s="19" t="s">
        <v>23</v>
      </c>
      <c r="B93" s="14">
        <v>75</v>
      </c>
      <c r="C93">
        <v>1</v>
      </c>
    </row>
    <row r="94" spans="1:3">
      <c r="A94" s="18" t="s">
        <v>21</v>
      </c>
      <c r="B94" s="14">
        <v>300</v>
      </c>
      <c r="C94">
        <v>4</v>
      </c>
    </row>
    <row r="95" spans="1:3">
      <c r="A95" s="19" t="s">
        <v>24</v>
      </c>
      <c r="B95" s="14">
        <v>150</v>
      </c>
      <c r="C95">
        <v>2</v>
      </c>
    </row>
    <row r="96" spans="1:3">
      <c r="A96" s="19" t="s">
        <v>22</v>
      </c>
      <c r="B96" s="14">
        <v>150</v>
      </c>
      <c r="C96">
        <v>2</v>
      </c>
    </row>
    <row r="97" spans="1:3">
      <c r="A97" s="20">
        <v>44760</v>
      </c>
      <c r="B97" s="14">
        <v>290</v>
      </c>
      <c r="C97">
        <v>3</v>
      </c>
    </row>
    <row r="98" spans="1:3">
      <c r="A98" s="17" t="s">
        <v>13</v>
      </c>
      <c r="B98" s="14">
        <v>290</v>
      </c>
      <c r="C98">
        <v>3</v>
      </c>
    </row>
    <row r="99" spans="1:3">
      <c r="A99" s="18" t="s">
        <v>20</v>
      </c>
      <c r="B99" s="14">
        <v>250</v>
      </c>
      <c r="C99">
        <v>2</v>
      </c>
    </row>
    <row r="100" spans="1:3">
      <c r="A100" s="19" t="s">
        <v>22</v>
      </c>
      <c r="B100" s="14">
        <v>250</v>
      </c>
      <c r="C100">
        <v>2</v>
      </c>
    </row>
    <row r="101" spans="1:3">
      <c r="A101" s="18" t="s">
        <v>19</v>
      </c>
      <c r="B101" s="14">
        <v>40</v>
      </c>
      <c r="C101">
        <v>1</v>
      </c>
    </row>
    <row r="102" spans="1:3">
      <c r="A102" s="19" t="s">
        <v>23</v>
      </c>
      <c r="B102" s="14">
        <v>40</v>
      </c>
      <c r="C102">
        <v>1</v>
      </c>
    </row>
    <row r="103" spans="1:3">
      <c r="A103" s="20">
        <v>44761</v>
      </c>
      <c r="B103" s="14">
        <v>900</v>
      </c>
      <c r="C103">
        <v>7</v>
      </c>
    </row>
    <row r="104" spans="1:3">
      <c r="A104" s="17" t="s">
        <v>14</v>
      </c>
      <c r="B104" s="14">
        <v>900</v>
      </c>
      <c r="C104">
        <v>7</v>
      </c>
    </row>
    <row r="105" spans="1:3">
      <c r="A105" s="18" t="s">
        <v>20</v>
      </c>
      <c r="B105" s="14">
        <v>300</v>
      </c>
      <c r="C105">
        <v>3</v>
      </c>
    </row>
    <row r="106" spans="1:3">
      <c r="A106" s="19" t="s">
        <v>22</v>
      </c>
      <c r="B106" s="14">
        <v>300</v>
      </c>
      <c r="C106">
        <v>3</v>
      </c>
    </row>
    <row r="107" spans="1:3">
      <c r="A107" s="18" t="s">
        <v>19</v>
      </c>
      <c r="B107" s="14">
        <v>200</v>
      </c>
      <c r="C107">
        <v>2</v>
      </c>
    </row>
    <row r="108" spans="1:3">
      <c r="A108" s="19" t="s">
        <v>24</v>
      </c>
      <c r="B108" s="14">
        <v>200</v>
      </c>
      <c r="C108">
        <v>2</v>
      </c>
    </row>
    <row r="109" spans="1:3">
      <c r="A109" s="18" t="s">
        <v>21</v>
      </c>
      <c r="B109" s="14">
        <v>400</v>
      </c>
      <c r="C109">
        <v>2</v>
      </c>
    </row>
    <row r="110" spans="1:3">
      <c r="A110" s="19" t="s">
        <v>22</v>
      </c>
      <c r="B110" s="14">
        <v>400</v>
      </c>
      <c r="C110">
        <v>2</v>
      </c>
    </row>
    <row r="111" spans="1:3">
      <c r="A111" s="20">
        <v>44762</v>
      </c>
      <c r="B111" s="14">
        <v>675</v>
      </c>
      <c r="C111">
        <v>9</v>
      </c>
    </row>
    <row r="112" spans="1:3">
      <c r="A112" s="17" t="s">
        <v>17</v>
      </c>
      <c r="B112" s="14">
        <v>675</v>
      </c>
      <c r="C112">
        <v>9</v>
      </c>
    </row>
    <row r="113" spans="1:3">
      <c r="A113" s="18" t="s">
        <v>20</v>
      </c>
      <c r="B113" s="14">
        <v>130</v>
      </c>
      <c r="C113">
        <v>2</v>
      </c>
    </row>
    <row r="114" spans="1:3">
      <c r="A114" s="19" t="s">
        <v>24</v>
      </c>
      <c r="B114" s="14">
        <v>130</v>
      </c>
      <c r="C114">
        <v>2</v>
      </c>
    </row>
    <row r="115" spans="1:3">
      <c r="A115" s="18" t="s">
        <v>19</v>
      </c>
      <c r="B115" s="14">
        <v>325</v>
      </c>
      <c r="C115">
        <v>5</v>
      </c>
    </row>
    <row r="116" spans="1:3">
      <c r="A116" s="19" t="s">
        <v>22</v>
      </c>
      <c r="B116" s="14">
        <v>120</v>
      </c>
      <c r="C116">
        <v>1</v>
      </c>
    </row>
    <row r="117" spans="1:3">
      <c r="A117" s="19" t="s">
        <v>23</v>
      </c>
      <c r="B117" s="14">
        <v>205</v>
      </c>
      <c r="C117">
        <v>4</v>
      </c>
    </row>
    <row r="118" spans="1:3">
      <c r="A118" s="18" t="s">
        <v>21</v>
      </c>
      <c r="B118" s="14">
        <v>220</v>
      </c>
      <c r="C118">
        <v>2</v>
      </c>
    </row>
    <row r="119" spans="1:3">
      <c r="A119" s="19" t="s">
        <v>22</v>
      </c>
      <c r="B119" s="14">
        <v>220</v>
      </c>
      <c r="C119">
        <v>2</v>
      </c>
    </row>
    <row r="120" spans="1:3">
      <c r="A120" s="20">
        <v>44763</v>
      </c>
      <c r="B120" s="14">
        <v>360</v>
      </c>
      <c r="C120">
        <v>4</v>
      </c>
    </row>
    <row r="121" spans="1:3">
      <c r="A121" s="17" t="s">
        <v>18</v>
      </c>
      <c r="B121" s="14">
        <v>360</v>
      </c>
      <c r="C121">
        <v>4</v>
      </c>
    </row>
    <row r="122" spans="1:3">
      <c r="A122" s="18" t="s">
        <v>20</v>
      </c>
      <c r="B122" s="14">
        <v>300</v>
      </c>
      <c r="C122">
        <v>3</v>
      </c>
    </row>
    <row r="123" spans="1:3">
      <c r="A123" s="19" t="s">
        <v>22</v>
      </c>
      <c r="B123" s="14">
        <v>200</v>
      </c>
      <c r="C123">
        <v>2</v>
      </c>
    </row>
    <row r="124" spans="1:3">
      <c r="A124" s="19" t="s">
        <v>23</v>
      </c>
      <c r="B124" s="14">
        <v>100</v>
      </c>
      <c r="C124">
        <v>1</v>
      </c>
    </row>
    <row r="125" spans="1:3">
      <c r="A125" s="18" t="s">
        <v>21</v>
      </c>
      <c r="B125" s="14">
        <v>60</v>
      </c>
      <c r="C125">
        <v>1</v>
      </c>
    </row>
    <row r="126" spans="1:3">
      <c r="A126" s="19" t="s">
        <v>23</v>
      </c>
      <c r="B126" s="14">
        <v>60</v>
      </c>
      <c r="C126">
        <v>1</v>
      </c>
    </row>
    <row r="127" spans="1:3">
      <c r="A127" s="20">
        <v>44764</v>
      </c>
      <c r="B127" s="14">
        <v>810</v>
      </c>
      <c r="C127">
        <v>12</v>
      </c>
    </row>
    <row r="128" spans="1:3">
      <c r="A128" s="17" t="s">
        <v>15</v>
      </c>
      <c r="B128" s="14">
        <v>810</v>
      </c>
      <c r="C128">
        <v>12</v>
      </c>
    </row>
    <row r="129" spans="1:3">
      <c r="A129" s="18" t="s">
        <v>20</v>
      </c>
      <c r="B129" s="14">
        <v>310</v>
      </c>
      <c r="C129">
        <v>5</v>
      </c>
    </row>
    <row r="130" spans="1:3">
      <c r="A130" s="19" t="s">
        <v>23</v>
      </c>
      <c r="B130" s="14">
        <v>310</v>
      </c>
      <c r="C130">
        <v>5</v>
      </c>
    </row>
    <row r="131" spans="1:3">
      <c r="A131" s="18" t="s">
        <v>19</v>
      </c>
      <c r="B131" s="14">
        <v>150</v>
      </c>
      <c r="C131">
        <v>3</v>
      </c>
    </row>
    <row r="132" spans="1:3">
      <c r="A132" s="19" t="s">
        <v>23</v>
      </c>
      <c r="B132" s="14">
        <v>150</v>
      </c>
      <c r="C132">
        <v>3</v>
      </c>
    </row>
    <row r="133" spans="1:3">
      <c r="A133" s="18" t="s">
        <v>21</v>
      </c>
      <c r="B133" s="14">
        <v>350</v>
      </c>
      <c r="C133">
        <v>4</v>
      </c>
    </row>
    <row r="134" spans="1:3">
      <c r="A134" s="19" t="s">
        <v>22</v>
      </c>
      <c r="B134" s="14">
        <v>200</v>
      </c>
      <c r="C134">
        <v>2</v>
      </c>
    </row>
    <row r="135" spans="1:3">
      <c r="A135" s="19" t="s">
        <v>23</v>
      </c>
      <c r="B135" s="14">
        <v>150</v>
      </c>
      <c r="C135">
        <v>2</v>
      </c>
    </row>
    <row r="136" spans="1:3">
      <c r="A136" s="20">
        <v>44765</v>
      </c>
      <c r="B136" s="14">
        <v>975</v>
      </c>
      <c r="C136">
        <v>9</v>
      </c>
    </row>
    <row r="137" spans="1:3">
      <c r="A137" s="17" t="s">
        <v>16</v>
      </c>
      <c r="B137" s="14">
        <v>975</v>
      </c>
      <c r="C137">
        <v>9</v>
      </c>
    </row>
    <row r="138" spans="1:3">
      <c r="A138" s="18" t="s">
        <v>20</v>
      </c>
      <c r="B138" s="14">
        <v>400</v>
      </c>
      <c r="C138">
        <v>3</v>
      </c>
    </row>
    <row r="139" spans="1:3">
      <c r="A139" s="19" t="s">
        <v>22</v>
      </c>
      <c r="B139" s="14">
        <v>200</v>
      </c>
      <c r="C139">
        <v>1</v>
      </c>
    </row>
    <row r="140" spans="1:3">
      <c r="A140" s="19" t="s">
        <v>23</v>
      </c>
      <c r="B140" s="14">
        <v>200</v>
      </c>
      <c r="C140">
        <v>2</v>
      </c>
    </row>
    <row r="141" spans="1:3">
      <c r="A141" s="18" t="s">
        <v>19</v>
      </c>
      <c r="B141" s="14">
        <v>425</v>
      </c>
      <c r="C141">
        <v>4</v>
      </c>
    </row>
    <row r="142" spans="1:3">
      <c r="A142" s="19" t="s">
        <v>24</v>
      </c>
      <c r="B142" s="14">
        <v>150</v>
      </c>
      <c r="C142">
        <v>3</v>
      </c>
    </row>
    <row r="143" spans="1:3">
      <c r="A143" s="19" t="s">
        <v>22</v>
      </c>
      <c r="B143" s="14">
        <v>275</v>
      </c>
      <c r="C143">
        <v>1</v>
      </c>
    </row>
    <row r="144" spans="1:3">
      <c r="A144" s="18" t="s">
        <v>21</v>
      </c>
      <c r="B144" s="14">
        <v>150</v>
      </c>
      <c r="C144">
        <v>2</v>
      </c>
    </row>
    <row r="145" spans="1:3">
      <c r="A145" s="19" t="s">
        <v>24</v>
      </c>
      <c r="B145" s="14">
        <v>150</v>
      </c>
      <c r="C145">
        <v>2</v>
      </c>
    </row>
    <row r="146" spans="1:3">
      <c r="A146" s="20">
        <v>44767</v>
      </c>
      <c r="B146" s="14">
        <v>675</v>
      </c>
      <c r="C146">
        <v>5</v>
      </c>
    </row>
    <row r="147" spans="1:3">
      <c r="A147" s="17" t="s">
        <v>13</v>
      </c>
      <c r="B147" s="14">
        <v>675</v>
      </c>
      <c r="C147">
        <v>5</v>
      </c>
    </row>
    <row r="148" spans="1:3">
      <c r="A148" s="18" t="s">
        <v>19</v>
      </c>
      <c r="B148" s="14">
        <v>375</v>
      </c>
      <c r="C148">
        <v>2</v>
      </c>
    </row>
    <row r="149" spans="1:3">
      <c r="A149" s="19" t="s">
        <v>22</v>
      </c>
      <c r="B149" s="14">
        <v>375</v>
      </c>
      <c r="C149">
        <v>2</v>
      </c>
    </row>
    <row r="150" spans="1:3">
      <c r="A150" s="18" t="s">
        <v>21</v>
      </c>
      <c r="B150" s="14">
        <v>300</v>
      </c>
      <c r="C150">
        <v>3</v>
      </c>
    </row>
    <row r="151" spans="1:3">
      <c r="A151" s="19" t="s">
        <v>22</v>
      </c>
      <c r="B151" s="14">
        <v>300</v>
      </c>
      <c r="C151">
        <v>3</v>
      </c>
    </row>
    <row r="152" spans="1:3">
      <c r="A152" s="20">
        <v>44768</v>
      </c>
      <c r="B152" s="14">
        <v>175</v>
      </c>
      <c r="C152">
        <v>2</v>
      </c>
    </row>
    <row r="153" spans="1:3">
      <c r="A153" s="17" t="s">
        <v>14</v>
      </c>
      <c r="B153" s="14">
        <v>175</v>
      </c>
      <c r="C153">
        <v>2</v>
      </c>
    </row>
    <row r="154" spans="1:3">
      <c r="A154" s="18" t="s">
        <v>20</v>
      </c>
      <c r="B154" s="14">
        <v>100</v>
      </c>
      <c r="C154">
        <v>1</v>
      </c>
    </row>
    <row r="155" spans="1:3">
      <c r="A155" s="19" t="s">
        <v>23</v>
      </c>
      <c r="B155" s="14">
        <v>100</v>
      </c>
      <c r="C155">
        <v>1</v>
      </c>
    </row>
    <row r="156" spans="1:3">
      <c r="A156" s="18" t="s">
        <v>19</v>
      </c>
      <c r="B156" s="14">
        <v>75</v>
      </c>
      <c r="C156">
        <v>1</v>
      </c>
    </row>
    <row r="157" spans="1:3">
      <c r="A157" s="19" t="s">
        <v>24</v>
      </c>
      <c r="B157" s="14">
        <v>75</v>
      </c>
      <c r="C157">
        <v>1</v>
      </c>
    </row>
    <row r="158" spans="1:3">
      <c r="A158" s="20">
        <v>44769</v>
      </c>
      <c r="B158" s="14">
        <v>370</v>
      </c>
      <c r="C158">
        <v>4</v>
      </c>
    </row>
    <row r="159" spans="1:3">
      <c r="A159" s="17" t="s">
        <v>17</v>
      </c>
      <c r="B159" s="14">
        <v>370</v>
      </c>
      <c r="C159">
        <v>4</v>
      </c>
    </row>
    <row r="160" spans="1:3">
      <c r="A160" s="18" t="s">
        <v>20</v>
      </c>
      <c r="B160" s="14">
        <v>150</v>
      </c>
      <c r="C160">
        <v>2</v>
      </c>
    </row>
    <row r="161" spans="1:3">
      <c r="A161" s="19" t="s">
        <v>24</v>
      </c>
      <c r="B161" s="14">
        <v>150</v>
      </c>
      <c r="C161">
        <v>2</v>
      </c>
    </row>
    <row r="162" spans="1:3">
      <c r="A162" s="18" t="s">
        <v>21</v>
      </c>
      <c r="B162" s="14">
        <v>220</v>
      </c>
      <c r="C162">
        <v>2</v>
      </c>
    </row>
    <row r="163" spans="1:3">
      <c r="A163" s="19" t="s">
        <v>22</v>
      </c>
      <c r="B163" s="14">
        <v>220</v>
      </c>
      <c r="C163">
        <v>2</v>
      </c>
    </row>
    <row r="164" spans="1:3">
      <c r="A164" s="20">
        <v>44770</v>
      </c>
      <c r="B164" s="14">
        <v>500</v>
      </c>
      <c r="C164">
        <v>3</v>
      </c>
    </row>
    <row r="165" spans="1:3">
      <c r="A165" s="17" t="s">
        <v>18</v>
      </c>
      <c r="B165" s="14">
        <v>500</v>
      </c>
      <c r="C165">
        <v>3</v>
      </c>
    </row>
    <row r="166" spans="1:3">
      <c r="A166" s="18" t="s">
        <v>20</v>
      </c>
      <c r="B166" s="14">
        <v>200</v>
      </c>
      <c r="C166">
        <v>2</v>
      </c>
    </row>
    <row r="167" spans="1:3">
      <c r="A167" s="19" t="s">
        <v>23</v>
      </c>
      <c r="B167" s="14">
        <v>200</v>
      </c>
      <c r="C167">
        <v>2</v>
      </c>
    </row>
    <row r="168" spans="1:3">
      <c r="A168" s="18" t="s">
        <v>21</v>
      </c>
      <c r="B168" s="14">
        <v>300</v>
      </c>
      <c r="C168">
        <v>1</v>
      </c>
    </row>
    <row r="169" spans="1:3">
      <c r="A169" s="19" t="s">
        <v>22</v>
      </c>
      <c r="B169" s="14">
        <v>300</v>
      </c>
      <c r="C169">
        <v>1</v>
      </c>
    </row>
    <row r="170" spans="1:3">
      <c r="A170" s="20">
        <v>44771</v>
      </c>
      <c r="B170" s="14">
        <v>450</v>
      </c>
      <c r="C170">
        <v>6</v>
      </c>
    </row>
    <row r="171" spans="1:3">
      <c r="A171" s="17" t="s">
        <v>15</v>
      </c>
      <c r="B171" s="14">
        <v>450</v>
      </c>
      <c r="C171">
        <v>6</v>
      </c>
    </row>
    <row r="172" spans="1:3">
      <c r="A172" s="18" t="s">
        <v>20</v>
      </c>
      <c r="B172" s="14">
        <v>100</v>
      </c>
      <c r="C172">
        <v>1</v>
      </c>
    </row>
    <row r="173" spans="1:3">
      <c r="A173" s="19" t="s">
        <v>24</v>
      </c>
      <c r="B173" s="14">
        <v>100</v>
      </c>
      <c r="C173">
        <v>1</v>
      </c>
    </row>
    <row r="174" spans="1:3">
      <c r="A174" s="18" t="s">
        <v>19</v>
      </c>
      <c r="B174" s="14">
        <v>350</v>
      </c>
      <c r="C174">
        <v>5</v>
      </c>
    </row>
    <row r="175" spans="1:3">
      <c r="A175" s="19" t="s">
        <v>24</v>
      </c>
      <c r="B175" s="14">
        <v>150</v>
      </c>
      <c r="C175">
        <v>3</v>
      </c>
    </row>
    <row r="176" spans="1:3">
      <c r="A176" s="19" t="s">
        <v>22</v>
      </c>
      <c r="B176" s="14">
        <v>200</v>
      </c>
      <c r="C176">
        <v>2</v>
      </c>
    </row>
    <row r="177" spans="1:3">
      <c r="A177" s="20">
        <v>44772</v>
      </c>
      <c r="B177" s="14">
        <v>875</v>
      </c>
      <c r="C177">
        <v>8</v>
      </c>
    </row>
    <row r="178" spans="1:3">
      <c r="A178" s="17" t="s">
        <v>16</v>
      </c>
      <c r="B178" s="14">
        <v>875</v>
      </c>
      <c r="C178">
        <v>8</v>
      </c>
    </row>
    <row r="179" spans="1:3">
      <c r="A179" s="18" t="s">
        <v>20</v>
      </c>
      <c r="B179" s="14">
        <v>300</v>
      </c>
      <c r="C179">
        <v>3</v>
      </c>
    </row>
    <row r="180" spans="1:3">
      <c r="A180" s="19" t="s">
        <v>23</v>
      </c>
      <c r="B180" s="14">
        <v>300</v>
      </c>
      <c r="C180">
        <v>3</v>
      </c>
    </row>
    <row r="181" spans="1:3">
      <c r="A181" s="18" t="s">
        <v>19</v>
      </c>
      <c r="B181" s="14">
        <v>275</v>
      </c>
      <c r="C181">
        <v>3</v>
      </c>
    </row>
    <row r="182" spans="1:3">
      <c r="A182" s="19" t="s">
        <v>22</v>
      </c>
      <c r="B182" s="14">
        <v>125</v>
      </c>
      <c r="C182">
        <v>1</v>
      </c>
    </row>
    <row r="183" spans="1:3">
      <c r="A183" s="19" t="s">
        <v>23</v>
      </c>
      <c r="B183" s="14">
        <v>150</v>
      </c>
      <c r="C183">
        <v>2</v>
      </c>
    </row>
    <row r="184" spans="1:3">
      <c r="A184" s="18" t="s">
        <v>21</v>
      </c>
      <c r="B184" s="14">
        <v>300</v>
      </c>
      <c r="C184">
        <v>2</v>
      </c>
    </row>
    <row r="185" spans="1:3">
      <c r="A185" s="19" t="s">
        <v>22</v>
      </c>
      <c r="B185" s="14">
        <v>300</v>
      </c>
      <c r="C185">
        <v>2</v>
      </c>
    </row>
    <row r="186" spans="1:3">
      <c r="A186" s="20" t="s">
        <v>43</v>
      </c>
      <c r="B186" s="14">
        <v>12650</v>
      </c>
      <c r="C186">
        <v>140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1C27F-41F9-49EF-BDA1-0666877ACC15}">
  <dimension ref="A3:D28"/>
  <sheetViews>
    <sheetView workbookViewId="0">
      <selection activeCell="H22" sqref="H22"/>
    </sheetView>
  </sheetViews>
  <sheetFormatPr defaultRowHeight="15.5"/>
  <cols>
    <col min="1" max="1" width="13" bestFit="1" customWidth="1"/>
    <col min="2" max="2" width="12.33203125" bestFit="1" customWidth="1"/>
    <col min="3" max="3" width="19.08203125" bestFit="1" customWidth="1"/>
    <col min="4" max="4" width="20.08203125" bestFit="1" customWidth="1"/>
  </cols>
  <sheetData>
    <row r="3" spans="1:4">
      <c r="A3" s="15" t="s">
        <v>50</v>
      </c>
      <c r="B3" t="s">
        <v>51</v>
      </c>
      <c r="C3" t="s">
        <v>52</v>
      </c>
      <c r="D3" s="22" t="s">
        <v>49</v>
      </c>
    </row>
    <row r="4" spans="1:4">
      <c r="A4" s="16" t="s">
        <v>20</v>
      </c>
      <c r="B4" s="14">
        <v>4010</v>
      </c>
      <c r="C4" s="21">
        <v>0.91576635924462002</v>
      </c>
      <c r="D4">
        <f>RANK(GETPIVOTDATA("TOTAL SALES",$A$3,"salesperson","Daksh"),B4:B6)</f>
        <v>3</v>
      </c>
    </row>
    <row r="5" spans="1:4">
      <c r="A5" s="16" t="s">
        <v>19</v>
      </c>
      <c r="B5" s="14">
        <v>4590</v>
      </c>
      <c r="C5" s="21">
        <v>0.97593021670982694</v>
      </c>
      <c r="D5">
        <f>RANK(GETPIVOTDATA("TOTAL SALES",$A$3,"salesperson","Naitik"),B4:B6)</f>
        <v>1</v>
      </c>
    </row>
    <row r="6" spans="1:4">
      <c r="A6" s="16" t="s">
        <v>21</v>
      </c>
      <c r="B6" s="14">
        <v>4050</v>
      </c>
      <c r="C6" s="21">
        <v>1.1351060007186489</v>
      </c>
      <c r="D6">
        <f>RANK(GETPIVOTDATA("TOTAL SALES",$A$3,"salesperson","Vishwas"),B4:B6)</f>
        <v>2</v>
      </c>
    </row>
    <row r="7" spans="1:4">
      <c r="A7" s="16" t="s">
        <v>43</v>
      </c>
      <c r="B7" s="14">
        <v>12650</v>
      </c>
      <c r="C7" s="21">
        <v>1</v>
      </c>
    </row>
    <row r="12" spans="1:4">
      <c r="A12" s="23" t="s">
        <v>49</v>
      </c>
      <c r="B12" s="15" t="s">
        <v>42</v>
      </c>
      <c r="C12" t="s">
        <v>40</v>
      </c>
      <c r="D12" t="s">
        <v>53</v>
      </c>
    </row>
    <row r="13" spans="1:4">
      <c r="A13">
        <f>RANK(GETPIVOTDATA("Sum of Sales amount",$B$12,"Item","Sandals"),C13:C15)</f>
        <v>3</v>
      </c>
      <c r="B13" s="16" t="s">
        <v>24</v>
      </c>
      <c r="C13" s="14">
        <v>2090</v>
      </c>
      <c r="D13" s="21">
        <v>0.16521739130434782</v>
      </c>
    </row>
    <row r="14" spans="1:4">
      <c r="A14">
        <f>RANK(GETPIVOTDATA("Sum of Sales amount",$B$12,"Item","Shoes"),C13:C15)</f>
        <v>1</v>
      </c>
      <c r="B14" s="16" t="s">
        <v>22</v>
      </c>
      <c r="C14" s="14">
        <v>7130</v>
      </c>
      <c r="D14" s="21">
        <v>0.5636363636363636</v>
      </c>
    </row>
    <row r="15" spans="1:4">
      <c r="A15">
        <f>RANK(GETPIVOTDATA("Sum of Sales amount",$B$12,"Item","Slippers"),C13:C15)</f>
        <v>2</v>
      </c>
      <c r="B15" s="16" t="s">
        <v>23</v>
      </c>
      <c r="C15" s="14">
        <v>3430</v>
      </c>
      <c r="D15" s="21">
        <v>0.27114624505928853</v>
      </c>
    </row>
    <row r="16" spans="1:4">
      <c r="B16" s="16" t="s">
        <v>43</v>
      </c>
      <c r="C16" s="14">
        <v>12650</v>
      </c>
      <c r="D16" s="21">
        <v>1</v>
      </c>
    </row>
    <row r="21" spans="2:4">
      <c r="B21" s="15" t="s">
        <v>42</v>
      </c>
      <c r="C21" t="s">
        <v>40</v>
      </c>
      <c r="D21" t="s">
        <v>53</v>
      </c>
    </row>
    <row r="22" spans="2:4">
      <c r="B22" s="16" t="s">
        <v>13</v>
      </c>
      <c r="C22" s="14">
        <v>1905</v>
      </c>
      <c r="D22" s="21">
        <v>0.15059288537549406</v>
      </c>
    </row>
    <row r="23" spans="2:4">
      <c r="B23" s="16" t="s">
        <v>14</v>
      </c>
      <c r="C23" s="14">
        <v>2115</v>
      </c>
      <c r="D23" s="21">
        <v>0.16719367588932807</v>
      </c>
    </row>
    <row r="24" spans="2:4">
      <c r="B24" s="16" t="s">
        <v>17</v>
      </c>
      <c r="C24" s="14">
        <v>1545</v>
      </c>
      <c r="D24" s="21">
        <v>0.12213438735177866</v>
      </c>
    </row>
    <row r="25" spans="2:4">
      <c r="B25" s="16" t="s">
        <v>18</v>
      </c>
      <c r="C25" s="14">
        <v>1610</v>
      </c>
      <c r="D25" s="21">
        <v>0.12727272727272726</v>
      </c>
    </row>
    <row r="26" spans="2:4">
      <c r="B26" s="16" t="s">
        <v>15</v>
      </c>
      <c r="C26" s="14">
        <v>2620</v>
      </c>
      <c r="D26" s="21">
        <v>0.20711462450592885</v>
      </c>
    </row>
    <row r="27" spans="2:4">
      <c r="B27" s="16" t="s">
        <v>16</v>
      </c>
      <c r="C27" s="14">
        <v>2855</v>
      </c>
      <c r="D27" s="21">
        <v>0.22569169960474308</v>
      </c>
    </row>
    <row r="28" spans="2:4">
      <c r="B28" s="16" t="s">
        <v>43</v>
      </c>
      <c r="C28" s="14">
        <v>12650</v>
      </c>
      <c r="D28" s="21">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465F6-76B5-4001-B68C-CAA5BA043602}">
  <dimension ref="A3:H91"/>
  <sheetViews>
    <sheetView workbookViewId="0">
      <selection activeCell="I20" sqref="I20"/>
    </sheetView>
  </sheetViews>
  <sheetFormatPr defaultRowHeight="15.5"/>
  <cols>
    <col min="1" max="1" width="19.08203125" bestFit="1" customWidth="1"/>
    <col min="2" max="2" width="15.25" bestFit="1" customWidth="1"/>
    <col min="3" max="3" width="10.08203125" bestFit="1" customWidth="1"/>
    <col min="4" max="4" width="10.83203125" bestFit="1" customWidth="1"/>
    <col min="5" max="7" width="10.08203125" bestFit="1" customWidth="1"/>
    <col min="8" max="8" width="11.08203125" bestFit="1" customWidth="1"/>
    <col min="9" max="9" width="19.08203125" bestFit="1" customWidth="1"/>
    <col min="10" max="10" width="18" bestFit="1" customWidth="1"/>
    <col min="11" max="11" width="19.08203125" bestFit="1" customWidth="1"/>
    <col min="12" max="12" width="18" bestFit="1" customWidth="1"/>
    <col min="13" max="13" width="19.08203125" bestFit="1" customWidth="1"/>
    <col min="14" max="14" width="23" bestFit="1" customWidth="1"/>
    <col min="15" max="15" width="24.08203125" bestFit="1" customWidth="1"/>
    <col min="16" max="18" width="8.58203125" bestFit="1" customWidth="1"/>
    <col min="19" max="19" width="12.75" bestFit="1" customWidth="1"/>
    <col min="20" max="20" width="12.58203125" bestFit="1" customWidth="1"/>
    <col min="21" max="25" width="8.58203125" bestFit="1" customWidth="1"/>
    <col min="26" max="26" width="15.83203125" bestFit="1" customWidth="1"/>
    <col min="27" max="27" width="10.5" bestFit="1" customWidth="1"/>
    <col min="28" max="28" width="7.58203125" bestFit="1" customWidth="1"/>
    <col min="29" max="32" width="8.58203125" bestFit="1" customWidth="1"/>
    <col min="33" max="33" width="13.75" bestFit="1" customWidth="1"/>
    <col min="34" max="34" width="7.83203125" bestFit="1" customWidth="1"/>
    <col min="35" max="35" width="7.58203125" bestFit="1" customWidth="1"/>
    <col min="36" max="40" width="8.58203125" bestFit="1" customWidth="1"/>
    <col min="41" max="41" width="11" bestFit="1" customWidth="1"/>
    <col min="42" max="42" width="10.33203125" bestFit="1" customWidth="1"/>
    <col min="43" max="43" width="7.58203125" bestFit="1" customWidth="1"/>
    <col min="44" max="50" width="8.58203125" bestFit="1" customWidth="1"/>
    <col min="51" max="51" width="13.58203125" bestFit="1" customWidth="1"/>
    <col min="52" max="52" width="11" bestFit="1" customWidth="1"/>
  </cols>
  <sheetData>
    <row r="3" spans="1:8">
      <c r="A3" s="15" t="s">
        <v>40</v>
      </c>
      <c r="B3" s="15" t="s">
        <v>54</v>
      </c>
    </row>
    <row r="4" spans="1:8">
      <c r="A4" s="15" t="s">
        <v>42</v>
      </c>
      <c r="B4" t="s">
        <v>13</v>
      </c>
      <c r="C4" t="s">
        <v>14</v>
      </c>
      <c r="D4" t="s">
        <v>17</v>
      </c>
      <c r="E4" t="s">
        <v>18</v>
      </c>
      <c r="F4" t="s">
        <v>15</v>
      </c>
      <c r="G4" t="s">
        <v>16</v>
      </c>
      <c r="H4" t="s">
        <v>43</v>
      </c>
    </row>
    <row r="5" spans="1:8">
      <c r="A5" s="16" t="s">
        <v>20</v>
      </c>
      <c r="B5" s="14">
        <v>610</v>
      </c>
      <c r="C5" s="14">
        <v>400</v>
      </c>
      <c r="D5" s="14">
        <v>480</v>
      </c>
      <c r="E5" s="14">
        <v>850</v>
      </c>
      <c r="F5" s="14">
        <v>860</v>
      </c>
      <c r="G5" s="14">
        <v>810</v>
      </c>
      <c r="H5" s="14">
        <v>4010</v>
      </c>
    </row>
    <row r="6" spans="1:8">
      <c r="A6" s="17" t="s">
        <v>24</v>
      </c>
      <c r="B6" s="14">
        <v>130</v>
      </c>
      <c r="C6" s="14"/>
      <c r="D6" s="14">
        <v>280</v>
      </c>
      <c r="E6" s="14"/>
      <c r="F6" s="14">
        <v>200</v>
      </c>
      <c r="G6" s="14"/>
      <c r="H6" s="14">
        <v>610</v>
      </c>
    </row>
    <row r="7" spans="1:8">
      <c r="A7" s="24">
        <v>44753</v>
      </c>
      <c r="B7" s="14">
        <v>130</v>
      </c>
      <c r="C7" s="14"/>
      <c r="D7" s="14"/>
      <c r="E7" s="14"/>
      <c r="F7" s="14"/>
      <c r="G7" s="14"/>
      <c r="H7" s="14">
        <v>130</v>
      </c>
    </row>
    <row r="8" spans="1:8">
      <c r="A8" s="24">
        <v>44757</v>
      </c>
      <c r="B8" s="14"/>
      <c r="C8" s="14"/>
      <c r="D8" s="14"/>
      <c r="E8" s="14"/>
      <c r="F8" s="14">
        <v>100</v>
      </c>
      <c r="G8" s="14"/>
      <c r="H8" s="14">
        <v>100</v>
      </c>
    </row>
    <row r="9" spans="1:8">
      <c r="A9" s="24">
        <v>44762</v>
      </c>
      <c r="B9" s="14"/>
      <c r="C9" s="14"/>
      <c r="D9" s="14">
        <v>130</v>
      </c>
      <c r="E9" s="14"/>
      <c r="F9" s="14"/>
      <c r="G9" s="14"/>
      <c r="H9" s="14">
        <v>130</v>
      </c>
    </row>
    <row r="10" spans="1:8">
      <c r="A10" s="24">
        <v>44769</v>
      </c>
      <c r="B10" s="14"/>
      <c r="C10" s="14"/>
      <c r="D10" s="14">
        <v>150</v>
      </c>
      <c r="E10" s="14"/>
      <c r="F10" s="14"/>
      <c r="G10" s="14"/>
      <c r="H10" s="14">
        <v>150</v>
      </c>
    </row>
    <row r="11" spans="1:8">
      <c r="A11" s="24">
        <v>44771</v>
      </c>
      <c r="B11" s="14"/>
      <c r="C11" s="14"/>
      <c r="D11" s="14"/>
      <c r="E11" s="14"/>
      <c r="F11" s="14">
        <v>100</v>
      </c>
      <c r="G11" s="14"/>
      <c r="H11" s="14">
        <v>100</v>
      </c>
    </row>
    <row r="12" spans="1:8">
      <c r="A12" s="17" t="s">
        <v>22</v>
      </c>
      <c r="B12" s="14">
        <v>350</v>
      </c>
      <c r="C12" s="14">
        <v>300</v>
      </c>
      <c r="D12" s="14">
        <v>100</v>
      </c>
      <c r="E12" s="14">
        <v>350</v>
      </c>
      <c r="F12" s="14">
        <v>200</v>
      </c>
      <c r="G12" s="14">
        <v>200</v>
      </c>
      <c r="H12" s="14">
        <v>1500</v>
      </c>
    </row>
    <row r="13" spans="1:8">
      <c r="A13" s="24">
        <v>44746</v>
      </c>
      <c r="B13" s="14">
        <v>100</v>
      </c>
      <c r="C13" s="14"/>
      <c r="D13" s="14"/>
      <c r="E13" s="14"/>
      <c r="F13" s="14"/>
      <c r="G13" s="14"/>
      <c r="H13" s="14">
        <v>100</v>
      </c>
    </row>
    <row r="14" spans="1:8">
      <c r="A14" s="24">
        <v>44749</v>
      </c>
      <c r="B14" s="14"/>
      <c r="C14" s="14"/>
      <c r="D14" s="14"/>
      <c r="E14" s="14">
        <v>150</v>
      </c>
      <c r="F14" s="14"/>
      <c r="G14" s="14"/>
      <c r="H14" s="14">
        <v>150</v>
      </c>
    </row>
    <row r="15" spans="1:8">
      <c r="A15" s="24">
        <v>44755</v>
      </c>
      <c r="B15" s="14"/>
      <c r="C15" s="14"/>
      <c r="D15" s="14">
        <v>100</v>
      </c>
      <c r="E15" s="14"/>
      <c r="F15" s="14"/>
      <c r="G15" s="14"/>
      <c r="H15" s="14">
        <v>100</v>
      </c>
    </row>
    <row r="16" spans="1:8">
      <c r="A16" s="24">
        <v>44757</v>
      </c>
      <c r="B16" s="14"/>
      <c r="C16" s="14"/>
      <c r="D16" s="14"/>
      <c r="E16" s="14"/>
      <c r="F16" s="14">
        <v>200</v>
      </c>
      <c r="G16" s="14"/>
      <c r="H16" s="14">
        <v>200</v>
      </c>
    </row>
    <row r="17" spans="1:8">
      <c r="A17" s="24">
        <v>44760</v>
      </c>
      <c r="B17" s="14">
        <v>250</v>
      </c>
      <c r="C17" s="14"/>
      <c r="D17" s="14"/>
      <c r="E17" s="14"/>
      <c r="F17" s="14"/>
      <c r="G17" s="14"/>
      <c r="H17" s="14">
        <v>250</v>
      </c>
    </row>
    <row r="18" spans="1:8">
      <c r="A18" s="24">
        <v>44761</v>
      </c>
      <c r="B18" s="14"/>
      <c r="C18" s="14">
        <v>300</v>
      </c>
      <c r="D18" s="14"/>
      <c r="E18" s="14"/>
      <c r="F18" s="14"/>
      <c r="G18" s="14"/>
      <c r="H18" s="14">
        <v>300</v>
      </c>
    </row>
    <row r="19" spans="1:8">
      <c r="A19" s="24">
        <v>44763</v>
      </c>
      <c r="B19" s="14"/>
      <c r="C19" s="14"/>
      <c r="D19" s="14"/>
      <c r="E19" s="14">
        <v>200</v>
      </c>
      <c r="F19" s="14"/>
      <c r="G19" s="14"/>
      <c r="H19" s="14">
        <v>200</v>
      </c>
    </row>
    <row r="20" spans="1:8">
      <c r="A20" s="24">
        <v>44765</v>
      </c>
      <c r="B20" s="14"/>
      <c r="C20" s="14"/>
      <c r="D20" s="14"/>
      <c r="E20" s="14"/>
      <c r="F20" s="14"/>
      <c r="G20" s="14">
        <v>200</v>
      </c>
      <c r="H20" s="14">
        <v>200</v>
      </c>
    </row>
    <row r="21" spans="1:8">
      <c r="A21" s="17" t="s">
        <v>23</v>
      </c>
      <c r="B21" s="14">
        <v>130</v>
      </c>
      <c r="C21" s="14">
        <v>100</v>
      </c>
      <c r="D21" s="14">
        <v>100</v>
      </c>
      <c r="E21" s="14">
        <v>500</v>
      </c>
      <c r="F21" s="14">
        <v>460</v>
      </c>
      <c r="G21" s="14">
        <v>610</v>
      </c>
      <c r="H21" s="14">
        <v>1900</v>
      </c>
    </row>
    <row r="22" spans="1:8">
      <c r="A22" s="24">
        <v>44743</v>
      </c>
      <c r="B22" s="14"/>
      <c r="C22" s="14"/>
      <c r="D22" s="14"/>
      <c r="E22" s="14"/>
      <c r="F22" s="14">
        <v>50</v>
      </c>
      <c r="G22" s="14"/>
      <c r="H22" s="14">
        <v>50</v>
      </c>
    </row>
    <row r="23" spans="1:8">
      <c r="A23" s="24">
        <v>44746</v>
      </c>
      <c r="B23" s="14">
        <v>130</v>
      </c>
      <c r="C23" s="14"/>
      <c r="D23" s="14"/>
      <c r="E23" s="14"/>
      <c r="F23" s="14"/>
      <c r="G23" s="14"/>
      <c r="H23" s="14">
        <v>130</v>
      </c>
    </row>
    <row r="24" spans="1:8">
      <c r="A24" s="24">
        <v>44749</v>
      </c>
      <c r="B24" s="14"/>
      <c r="C24" s="14"/>
      <c r="D24" s="14"/>
      <c r="E24" s="14">
        <v>200</v>
      </c>
      <c r="F24" s="14"/>
      <c r="G24" s="14"/>
      <c r="H24" s="14">
        <v>200</v>
      </c>
    </row>
    <row r="25" spans="1:8">
      <c r="A25" s="24">
        <v>44751</v>
      </c>
      <c r="B25" s="14"/>
      <c r="C25" s="14"/>
      <c r="D25" s="14"/>
      <c r="E25" s="14"/>
      <c r="F25" s="14"/>
      <c r="G25" s="14">
        <v>110</v>
      </c>
      <c r="H25" s="14">
        <v>110</v>
      </c>
    </row>
    <row r="26" spans="1:8">
      <c r="A26" s="24">
        <v>44755</v>
      </c>
      <c r="B26" s="14"/>
      <c r="C26" s="14"/>
      <c r="D26" s="14">
        <v>100</v>
      </c>
      <c r="E26" s="14"/>
      <c r="F26" s="14"/>
      <c r="G26" s="14"/>
      <c r="H26" s="14">
        <v>100</v>
      </c>
    </row>
    <row r="27" spans="1:8">
      <c r="A27" s="24">
        <v>44757</v>
      </c>
      <c r="B27" s="14"/>
      <c r="C27" s="14"/>
      <c r="D27" s="14"/>
      <c r="E27" s="14"/>
      <c r="F27" s="14">
        <v>100</v>
      </c>
      <c r="G27" s="14"/>
      <c r="H27" s="14">
        <v>100</v>
      </c>
    </row>
    <row r="28" spans="1:8">
      <c r="A28" s="24">
        <v>44763</v>
      </c>
      <c r="B28" s="14"/>
      <c r="C28" s="14"/>
      <c r="D28" s="14"/>
      <c r="E28" s="14">
        <v>100</v>
      </c>
      <c r="F28" s="14"/>
      <c r="G28" s="14"/>
      <c r="H28" s="14">
        <v>100</v>
      </c>
    </row>
    <row r="29" spans="1:8">
      <c r="A29" s="24">
        <v>44764</v>
      </c>
      <c r="B29" s="14"/>
      <c r="C29" s="14"/>
      <c r="D29" s="14"/>
      <c r="E29" s="14"/>
      <c r="F29" s="14">
        <v>310</v>
      </c>
      <c r="G29" s="14"/>
      <c r="H29" s="14">
        <v>310</v>
      </c>
    </row>
    <row r="30" spans="1:8">
      <c r="A30" s="24">
        <v>44765</v>
      </c>
      <c r="B30" s="14"/>
      <c r="C30" s="14"/>
      <c r="D30" s="14"/>
      <c r="E30" s="14"/>
      <c r="F30" s="14"/>
      <c r="G30" s="14">
        <v>200</v>
      </c>
      <c r="H30" s="14">
        <v>200</v>
      </c>
    </row>
    <row r="31" spans="1:8">
      <c r="A31" s="24">
        <v>44768</v>
      </c>
      <c r="B31" s="14"/>
      <c r="C31" s="14">
        <v>100</v>
      </c>
      <c r="D31" s="14"/>
      <c r="E31" s="14"/>
      <c r="F31" s="14"/>
      <c r="G31" s="14"/>
      <c r="H31" s="14">
        <v>100</v>
      </c>
    </row>
    <row r="32" spans="1:8">
      <c r="A32" s="24">
        <v>44770</v>
      </c>
      <c r="B32" s="14"/>
      <c r="C32" s="14"/>
      <c r="D32" s="14"/>
      <c r="E32" s="14">
        <v>200</v>
      </c>
      <c r="F32" s="14"/>
      <c r="G32" s="14"/>
      <c r="H32" s="14">
        <v>200</v>
      </c>
    </row>
    <row r="33" spans="1:8">
      <c r="A33" s="24">
        <v>44772</v>
      </c>
      <c r="B33" s="14"/>
      <c r="C33" s="14"/>
      <c r="D33" s="14"/>
      <c r="E33" s="14"/>
      <c r="F33" s="14"/>
      <c r="G33" s="14">
        <v>300</v>
      </c>
      <c r="H33" s="14">
        <v>300</v>
      </c>
    </row>
    <row r="34" spans="1:8">
      <c r="A34" s="16" t="s">
        <v>19</v>
      </c>
      <c r="B34" s="14">
        <v>865</v>
      </c>
      <c r="C34" s="14">
        <v>715</v>
      </c>
      <c r="D34" s="14">
        <v>325</v>
      </c>
      <c r="E34" s="14">
        <v>300</v>
      </c>
      <c r="F34" s="14">
        <v>1210</v>
      </c>
      <c r="G34" s="14">
        <v>1175</v>
      </c>
      <c r="H34" s="14">
        <v>4590</v>
      </c>
    </row>
    <row r="35" spans="1:8">
      <c r="A35" s="17" t="s">
        <v>24</v>
      </c>
      <c r="B35" s="14"/>
      <c r="C35" s="14">
        <v>395</v>
      </c>
      <c r="D35" s="14"/>
      <c r="E35" s="14"/>
      <c r="F35" s="14">
        <v>150</v>
      </c>
      <c r="G35" s="14">
        <v>260</v>
      </c>
      <c r="H35" s="14">
        <v>805</v>
      </c>
    </row>
    <row r="36" spans="1:8">
      <c r="A36" s="24">
        <v>44744</v>
      </c>
      <c r="B36" s="14"/>
      <c r="C36" s="14"/>
      <c r="D36" s="14"/>
      <c r="E36" s="14"/>
      <c r="F36" s="14"/>
      <c r="G36" s="14">
        <v>110</v>
      </c>
      <c r="H36" s="14">
        <v>110</v>
      </c>
    </row>
    <row r="37" spans="1:8">
      <c r="A37" s="24">
        <v>44747</v>
      </c>
      <c r="B37" s="14"/>
      <c r="C37" s="14">
        <v>120</v>
      </c>
      <c r="D37" s="14"/>
      <c r="E37" s="14"/>
      <c r="F37" s="14"/>
      <c r="G37" s="14"/>
      <c r="H37" s="14">
        <v>120</v>
      </c>
    </row>
    <row r="38" spans="1:8">
      <c r="A38" s="24">
        <v>44761</v>
      </c>
      <c r="B38" s="14"/>
      <c r="C38" s="14">
        <v>200</v>
      </c>
      <c r="D38" s="14"/>
      <c r="E38" s="14"/>
      <c r="F38" s="14"/>
      <c r="G38" s="14"/>
      <c r="H38" s="14">
        <v>200</v>
      </c>
    </row>
    <row r="39" spans="1:8">
      <c r="A39" s="24">
        <v>44765</v>
      </c>
      <c r="B39" s="14"/>
      <c r="C39" s="14"/>
      <c r="D39" s="14"/>
      <c r="E39" s="14"/>
      <c r="F39" s="14"/>
      <c r="G39" s="14">
        <v>150</v>
      </c>
      <c r="H39" s="14">
        <v>150</v>
      </c>
    </row>
    <row r="40" spans="1:8">
      <c r="A40" s="24">
        <v>44768</v>
      </c>
      <c r="B40" s="14"/>
      <c r="C40" s="14">
        <v>75</v>
      </c>
      <c r="D40" s="14"/>
      <c r="E40" s="14"/>
      <c r="F40" s="14"/>
      <c r="G40" s="14"/>
      <c r="H40" s="14">
        <v>75</v>
      </c>
    </row>
    <row r="41" spans="1:8">
      <c r="A41" s="24">
        <v>44771</v>
      </c>
      <c r="B41" s="14"/>
      <c r="C41" s="14"/>
      <c r="D41" s="14"/>
      <c r="E41" s="14"/>
      <c r="F41" s="14">
        <v>150</v>
      </c>
      <c r="G41" s="14"/>
      <c r="H41" s="14">
        <v>150</v>
      </c>
    </row>
    <row r="42" spans="1:8">
      <c r="A42" s="17" t="s">
        <v>22</v>
      </c>
      <c r="B42" s="14">
        <v>825</v>
      </c>
      <c r="C42" s="14">
        <v>120</v>
      </c>
      <c r="D42" s="14">
        <v>120</v>
      </c>
      <c r="E42" s="14">
        <v>150</v>
      </c>
      <c r="F42" s="14">
        <v>710</v>
      </c>
      <c r="G42" s="14">
        <v>690</v>
      </c>
      <c r="H42" s="14">
        <v>2615</v>
      </c>
    </row>
    <row r="43" spans="1:8">
      <c r="A43" s="24">
        <v>44743</v>
      </c>
      <c r="B43" s="14"/>
      <c r="C43" s="14"/>
      <c r="D43" s="14"/>
      <c r="E43" s="14"/>
      <c r="F43" s="14">
        <v>60</v>
      </c>
      <c r="G43" s="14"/>
      <c r="H43" s="14">
        <v>60</v>
      </c>
    </row>
    <row r="44" spans="1:8">
      <c r="A44" s="24">
        <v>44746</v>
      </c>
      <c r="B44" s="14">
        <v>150</v>
      </c>
      <c r="C44" s="14"/>
      <c r="D44" s="14"/>
      <c r="E44" s="14"/>
      <c r="F44" s="14"/>
      <c r="G44" s="14"/>
      <c r="H44" s="14">
        <v>150</v>
      </c>
    </row>
    <row r="45" spans="1:8">
      <c r="A45" s="24">
        <v>44747</v>
      </c>
      <c r="B45" s="14"/>
      <c r="C45" s="14">
        <v>120</v>
      </c>
      <c r="D45" s="14"/>
      <c r="E45" s="14"/>
      <c r="F45" s="14"/>
      <c r="G45" s="14"/>
      <c r="H45" s="14">
        <v>120</v>
      </c>
    </row>
    <row r="46" spans="1:8">
      <c r="A46" s="24">
        <v>44749</v>
      </c>
      <c r="B46" s="14"/>
      <c r="C46" s="14"/>
      <c r="D46" s="14"/>
      <c r="E46" s="14">
        <v>150</v>
      </c>
      <c r="F46" s="14"/>
      <c r="G46" s="14"/>
      <c r="H46" s="14">
        <v>150</v>
      </c>
    </row>
    <row r="47" spans="1:8">
      <c r="A47" s="24">
        <v>44750</v>
      </c>
      <c r="B47" s="14"/>
      <c r="C47" s="14"/>
      <c r="D47" s="14"/>
      <c r="E47" s="14"/>
      <c r="F47" s="14">
        <v>250</v>
      </c>
      <c r="G47" s="14"/>
      <c r="H47" s="14">
        <v>250</v>
      </c>
    </row>
    <row r="48" spans="1:8">
      <c r="A48" s="24">
        <v>44751</v>
      </c>
      <c r="B48" s="14"/>
      <c r="C48" s="14"/>
      <c r="D48" s="14"/>
      <c r="E48" s="14"/>
      <c r="F48" s="14"/>
      <c r="G48" s="14">
        <v>140</v>
      </c>
      <c r="H48" s="14">
        <v>140</v>
      </c>
    </row>
    <row r="49" spans="1:8">
      <c r="A49" s="24">
        <v>44753</v>
      </c>
      <c r="B49" s="14">
        <v>300</v>
      </c>
      <c r="C49" s="14"/>
      <c r="D49" s="14"/>
      <c r="E49" s="14"/>
      <c r="F49" s="14"/>
      <c r="G49" s="14"/>
      <c r="H49" s="14">
        <v>300</v>
      </c>
    </row>
    <row r="50" spans="1:8">
      <c r="A50" s="24">
        <v>44757</v>
      </c>
      <c r="B50" s="14"/>
      <c r="C50" s="14"/>
      <c r="D50" s="14"/>
      <c r="E50" s="14"/>
      <c r="F50" s="14">
        <v>200</v>
      </c>
      <c r="G50" s="14"/>
      <c r="H50" s="14">
        <v>200</v>
      </c>
    </row>
    <row r="51" spans="1:8">
      <c r="A51" s="24">
        <v>44758</v>
      </c>
      <c r="B51" s="14"/>
      <c r="C51" s="14"/>
      <c r="D51" s="14"/>
      <c r="E51" s="14"/>
      <c r="F51" s="14"/>
      <c r="G51" s="14">
        <v>150</v>
      </c>
      <c r="H51" s="14">
        <v>150</v>
      </c>
    </row>
    <row r="52" spans="1:8">
      <c r="A52" s="24">
        <v>44762</v>
      </c>
      <c r="B52" s="14"/>
      <c r="C52" s="14"/>
      <c r="D52" s="14">
        <v>120</v>
      </c>
      <c r="E52" s="14"/>
      <c r="F52" s="14"/>
      <c r="G52" s="14"/>
      <c r="H52" s="14">
        <v>120</v>
      </c>
    </row>
    <row r="53" spans="1:8">
      <c r="A53" s="24">
        <v>44765</v>
      </c>
      <c r="B53" s="14"/>
      <c r="C53" s="14"/>
      <c r="D53" s="14"/>
      <c r="E53" s="14"/>
      <c r="F53" s="14"/>
      <c r="G53" s="14">
        <v>275</v>
      </c>
      <c r="H53" s="14">
        <v>275</v>
      </c>
    </row>
    <row r="54" spans="1:8">
      <c r="A54" s="24">
        <v>44767</v>
      </c>
      <c r="B54" s="14">
        <v>375</v>
      </c>
      <c r="C54" s="14"/>
      <c r="D54" s="14"/>
      <c r="E54" s="14"/>
      <c r="F54" s="14"/>
      <c r="G54" s="14"/>
      <c r="H54" s="14">
        <v>375</v>
      </c>
    </row>
    <row r="55" spans="1:8">
      <c r="A55" s="24">
        <v>44771</v>
      </c>
      <c r="B55" s="14"/>
      <c r="C55" s="14"/>
      <c r="D55" s="14"/>
      <c r="E55" s="14"/>
      <c r="F55" s="14">
        <v>200</v>
      </c>
      <c r="G55" s="14"/>
      <c r="H55" s="14">
        <v>200</v>
      </c>
    </row>
    <row r="56" spans="1:8">
      <c r="A56" s="24">
        <v>44772</v>
      </c>
      <c r="B56" s="14"/>
      <c r="C56" s="14"/>
      <c r="D56" s="14"/>
      <c r="E56" s="14"/>
      <c r="F56" s="14"/>
      <c r="G56" s="14">
        <v>125</v>
      </c>
      <c r="H56" s="14">
        <v>125</v>
      </c>
    </row>
    <row r="57" spans="1:8">
      <c r="A57" s="17" t="s">
        <v>23</v>
      </c>
      <c r="B57" s="14">
        <v>40</v>
      </c>
      <c r="C57" s="14">
        <v>200</v>
      </c>
      <c r="D57" s="14">
        <v>205</v>
      </c>
      <c r="E57" s="14">
        <v>150</v>
      </c>
      <c r="F57" s="14">
        <v>350</v>
      </c>
      <c r="G57" s="14">
        <v>225</v>
      </c>
      <c r="H57" s="14">
        <v>1170</v>
      </c>
    </row>
    <row r="58" spans="1:8">
      <c r="A58" s="24">
        <v>44750</v>
      </c>
      <c r="B58" s="14"/>
      <c r="C58" s="14"/>
      <c r="D58" s="14"/>
      <c r="E58" s="14"/>
      <c r="F58" s="14">
        <v>200</v>
      </c>
      <c r="G58" s="14"/>
      <c r="H58" s="14">
        <v>200</v>
      </c>
    </row>
    <row r="59" spans="1:8">
      <c r="A59" s="24">
        <v>44754</v>
      </c>
      <c r="B59" s="14"/>
      <c r="C59" s="14">
        <v>200</v>
      </c>
      <c r="D59" s="14"/>
      <c r="E59" s="14"/>
      <c r="F59" s="14"/>
      <c r="G59" s="14"/>
      <c r="H59" s="14">
        <v>200</v>
      </c>
    </row>
    <row r="60" spans="1:8">
      <c r="A60" s="24">
        <v>44756</v>
      </c>
      <c r="B60" s="14"/>
      <c r="C60" s="14"/>
      <c r="D60" s="14"/>
      <c r="E60" s="14">
        <v>150</v>
      </c>
      <c r="F60" s="14"/>
      <c r="G60" s="14"/>
      <c r="H60" s="14">
        <v>150</v>
      </c>
    </row>
    <row r="61" spans="1:8">
      <c r="A61" s="24">
        <v>44758</v>
      </c>
      <c r="B61" s="14"/>
      <c r="C61" s="14"/>
      <c r="D61" s="14"/>
      <c r="E61" s="14"/>
      <c r="F61" s="14"/>
      <c r="G61" s="14">
        <v>75</v>
      </c>
      <c r="H61" s="14">
        <v>75</v>
      </c>
    </row>
    <row r="62" spans="1:8">
      <c r="A62" s="24">
        <v>44760</v>
      </c>
      <c r="B62" s="14">
        <v>40</v>
      </c>
      <c r="C62" s="14"/>
      <c r="D62" s="14"/>
      <c r="E62" s="14"/>
      <c r="F62" s="14"/>
      <c r="G62" s="14"/>
      <c r="H62" s="14">
        <v>40</v>
      </c>
    </row>
    <row r="63" spans="1:8">
      <c r="A63" s="24">
        <v>44762</v>
      </c>
      <c r="B63" s="14"/>
      <c r="C63" s="14"/>
      <c r="D63" s="14">
        <v>205</v>
      </c>
      <c r="E63" s="14"/>
      <c r="F63" s="14"/>
      <c r="G63" s="14"/>
      <c r="H63" s="14">
        <v>205</v>
      </c>
    </row>
    <row r="64" spans="1:8">
      <c r="A64" s="24">
        <v>44764</v>
      </c>
      <c r="B64" s="14"/>
      <c r="C64" s="14"/>
      <c r="D64" s="14"/>
      <c r="E64" s="14"/>
      <c r="F64" s="14">
        <v>150</v>
      </c>
      <c r="G64" s="14"/>
      <c r="H64" s="14">
        <v>150</v>
      </c>
    </row>
    <row r="65" spans="1:8">
      <c r="A65" s="24">
        <v>44772</v>
      </c>
      <c r="B65" s="14"/>
      <c r="C65" s="14"/>
      <c r="D65" s="14"/>
      <c r="E65" s="14"/>
      <c r="F65" s="14"/>
      <c r="G65" s="14">
        <v>150</v>
      </c>
      <c r="H65" s="14">
        <v>150</v>
      </c>
    </row>
    <row r="66" spans="1:8">
      <c r="A66" s="16" t="s">
        <v>21</v>
      </c>
      <c r="B66" s="14">
        <v>430</v>
      </c>
      <c r="C66" s="14">
        <v>1000</v>
      </c>
      <c r="D66" s="14">
        <v>740</v>
      </c>
      <c r="E66" s="14">
        <v>460</v>
      </c>
      <c r="F66" s="14">
        <v>550</v>
      </c>
      <c r="G66" s="14">
        <v>870</v>
      </c>
      <c r="H66" s="14">
        <v>4050</v>
      </c>
    </row>
    <row r="67" spans="1:8">
      <c r="A67" s="17" t="s">
        <v>24</v>
      </c>
      <c r="B67" s="14">
        <v>130</v>
      </c>
      <c r="C67" s="14"/>
      <c r="D67" s="14"/>
      <c r="E67" s="14">
        <v>100</v>
      </c>
      <c r="F67" s="14">
        <v>100</v>
      </c>
      <c r="G67" s="14">
        <v>345</v>
      </c>
      <c r="H67" s="14">
        <v>675</v>
      </c>
    </row>
    <row r="68" spans="1:8">
      <c r="A68" s="24">
        <v>44744</v>
      </c>
      <c r="B68" s="14"/>
      <c r="C68" s="14"/>
      <c r="D68" s="14"/>
      <c r="E68" s="14"/>
      <c r="F68" s="14"/>
      <c r="G68" s="14">
        <v>45</v>
      </c>
      <c r="H68" s="14">
        <v>45</v>
      </c>
    </row>
    <row r="69" spans="1:8">
      <c r="A69" s="24">
        <v>44750</v>
      </c>
      <c r="B69" s="14"/>
      <c r="C69" s="14"/>
      <c r="D69" s="14"/>
      <c r="E69" s="14"/>
      <c r="F69" s="14">
        <v>100</v>
      </c>
      <c r="G69" s="14"/>
      <c r="H69" s="14">
        <v>100</v>
      </c>
    </row>
    <row r="70" spans="1:8">
      <c r="A70" s="24">
        <v>44753</v>
      </c>
      <c r="B70" s="14">
        <v>130</v>
      </c>
      <c r="C70" s="14"/>
      <c r="D70" s="14"/>
      <c r="E70" s="14"/>
      <c r="F70" s="14"/>
      <c r="G70" s="14"/>
      <c r="H70" s="14">
        <v>130</v>
      </c>
    </row>
    <row r="71" spans="1:8">
      <c r="A71" s="24">
        <v>44756</v>
      </c>
      <c r="B71" s="14"/>
      <c r="C71" s="14"/>
      <c r="D71" s="14"/>
      <c r="E71" s="14">
        <v>100</v>
      </c>
      <c r="F71" s="14"/>
      <c r="G71" s="14"/>
      <c r="H71" s="14">
        <v>100</v>
      </c>
    </row>
    <row r="72" spans="1:8">
      <c r="A72" s="24">
        <v>44758</v>
      </c>
      <c r="B72" s="14"/>
      <c r="C72" s="14"/>
      <c r="D72" s="14"/>
      <c r="E72" s="14"/>
      <c r="F72" s="14"/>
      <c r="G72" s="14">
        <v>150</v>
      </c>
      <c r="H72" s="14">
        <v>150</v>
      </c>
    </row>
    <row r="73" spans="1:8">
      <c r="A73" s="24">
        <v>44765</v>
      </c>
      <c r="B73" s="14"/>
      <c r="C73" s="14"/>
      <c r="D73" s="14"/>
      <c r="E73" s="14"/>
      <c r="F73" s="14"/>
      <c r="G73" s="14">
        <v>150</v>
      </c>
      <c r="H73" s="14">
        <v>150</v>
      </c>
    </row>
    <row r="74" spans="1:8">
      <c r="A74" s="17" t="s">
        <v>22</v>
      </c>
      <c r="B74" s="14">
        <v>300</v>
      </c>
      <c r="C74" s="14">
        <v>1000</v>
      </c>
      <c r="D74" s="14">
        <v>590</v>
      </c>
      <c r="E74" s="14">
        <v>300</v>
      </c>
      <c r="F74" s="14">
        <v>300</v>
      </c>
      <c r="G74" s="14">
        <v>525</v>
      </c>
      <c r="H74" s="14">
        <v>3015</v>
      </c>
    </row>
    <row r="75" spans="1:8">
      <c r="A75" s="24">
        <v>44743</v>
      </c>
      <c r="B75" s="14"/>
      <c r="C75" s="14"/>
      <c r="D75" s="14"/>
      <c r="E75" s="14"/>
      <c r="F75" s="14">
        <v>100</v>
      </c>
      <c r="G75" s="14"/>
      <c r="H75" s="14">
        <v>100</v>
      </c>
    </row>
    <row r="76" spans="1:8">
      <c r="A76" s="24">
        <v>44744</v>
      </c>
      <c r="B76" s="14"/>
      <c r="C76" s="14"/>
      <c r="D76" s="14"/>
      <c r="E76" s="14"/>
      <c r="F76" s="14"/>
      <c r="G76" s="14">
        <v>75</v>
      </c>
      <c r="H76" s="14">
        <v>75</v>
      </c>
    </row>
    <row r="77" spans="1:8">
      <c r="A77" s="24">
        <v>44748</v>
      </c>
      <c r="B77" s="14"/>
      <c r="C77" s="14"/>
      <c r="D77" s="14">
        <v>150</v>
      </c>
      <c r="E77" s="14"/>
      <c r="F77" s="14"/>
      <c r="G77" s="14"/>
      <c r="H77" s="14">
        <v>150</v>
      </c>
    </row>
    <row r="78" spans="1:8">
      <c r="A78" s="24">
        <v>44754</v>
      </c>
      <c r="B78" s="14"/>
      <c r="C78" s="14">
        <v>600</v>
      </c>
      <c r="D78" s="14"/>
      <c r="E78" s="14"/>
      <c r="F78" s="14"/>
      <c r="G78" s="14"/>
      <c r="H78" s="14">
        <v>600</v>
      </c>
    </row>
    <row r="79" spans="1:8">
      <c r="A79" s="24">
        <v>44758</v>
      </c>
      <c r="B79" s="14"/>
      <c r="C79" s="14"/>
      <c r="D79" s="14"/>
      <c r="E79" s="14"/>
      <c r="F79" s="14"/>
      <c r="G79" s="14">
        <v>150</v>
      </c>
      <c r="H79" s="14">
        <v>150</v>
      </c>
    </row>
    <row r="80" spans="1:8">
      <c r="A80" s="24">
        <v>44761</v>
      </c>
      <c r="B80" s="14"/>
      <c r="C80" s="14">
        <v>400</v>
      </c>
      <c r="D80" s="14"/>
      <c r="E80" s="14"/>
      <c r="F80" s="14"/>
      <c r="G80" s="14"/>
      <c r="H80" s="14">
        <v>400</v>
      </c>
    </row>
    <row r="81" spans="1:8">
      <c r="A81" s="24">
        <v>44762</v>
      </c>
      <c r="B81" s="14"/>
      <c r="C81" s="14"/>
      <c r="D81" s="14">
        <v>220</v>
      </c>
      <c r="E81" s="14"/>
      <c r="F81" s="14"/>
      <c r="G81" s="14"/>
      <c r="H81" s="14">
        <v>220</v>
      </c>
    </row>
    <row r="82" spans="1:8">
      <c r="A82" s="24">
        <v>44764</v>
      </c>
      <c r="B82" s="14"/>
      <c r="C82" s="14"/>
      <c r="D82" s="14"/>
      <c r="E82" s="14"/>
      <c r="F82" s="14">
        <v>200</v>
      </c>
      <c r="G82" s="14"/>
      <c r="H82" s="14">
        <v>200</v>
      </c>
    </row>
    <row r="83" spans="1:8">
      <c r="A83" s="24">
        <v>44767</v>
      </c>
      <c r="B83" s="14">
        <v>300</v>
      </c>
      <c r="C83" s="14"/>
      <c r="D83" s="14"/>
      <c r="E83" s="14"/>
      <c r="F83" s="14"/>
      <c r="G83" s="14"/>
      <c r="H83" s="14">
        <v>300</v>
      </c>
    </row>
    <row r="84" spans="1:8">
      <c r="A84" s="24">
        <v>44769</v>
      </c>
      <c r="B84" s="14"/>
      <c r="C84" s="14"/>
      <c r="D84" s="14">
        <v>220</v>
      </c>
      <c r="E84" s="14"/>
      <c r="F84" s="14"/>
      <c r="G84" s="14"/>
      <c r="H84" s="14">
        <v>220</v>
      </c>
    </row>
    <row r="85" spans="1:8">
      <c r="A85" s="24">
        <v>44770</v>
      </c>
      <c r="B85" s="14"/>
      <c r="C85" s="14"/>
      <c r="D85" s="14"/>
      <c r="E85" s="14">
        <v>300</v>
      </c>
      <c r="F85" s="14"/>
      <c r="G85" s="14"/>
      <c r="H85" s="14">
        <v>300</v>
      </c>
    </row>
    <row r="86" spans="1:8">
      <c r="A86" s="24">
        <v>44772</v>
      </c>
      <c r="B86" s="14"/>
      <c r="C86" s="14"/>
      <c r="D86" s="14"/>
      <c r="E86" s="14"/>
      <c r="F86" s="14"/>
      <c r="G86" s="14">
        <v>300</v>
      </c>
      <c r="H86" s="14">
        <v>300</v>
      </c>
    </row>
    <row r="87" spans="1:8">
      <c r="A87" s="17" t="s">
        <v>23</v>
      </c>
      <c r="B87" s="14"/>
      <c r="C87" s="14"/>
      <c r="D87" s="14">
        <v>150</v>
      </c>
      <c r="E87" s="14">
        <v>60</v>
      </c>
      <c r="F87" s="14">
        <v>150</v>
      </c>
      <c r="G87" s="14"/>
      <c r="H87" s="14">
        <v>360</v>
      </c>
    </row>
    <row r="88" spans="1:8">
      <c r="A88" s="24">
        <v>44748</v>
      </c>
      <c r="B88" s="14"/>
      <c r="C88" s="14"/>
      <c r="D88" s="14">
        <v>150</v>
      </c>
      <c r="E88" s="14"/>
      <c r="F88" s="14"/>
      <c r="G88" s="14"/>
      <c r="H88" s="14">
        <v>150</v>
      </c>
    </row>
    <row r="89" spans="1:8">
      <c r="A89" s="24">
        <v>44763</v>
      </c>
      <c r="B89" s="14"/>
      <c r="C89" s="14"/>
      <c r="D89" s="14"/>
      <c r="E89" s="14">
        <v>60</v>
      </c>
      <c r="F89" s="14"/>
      <c r="G89" s="14"/>
      <c r="H89" s="14">
        <v>60</v>
      </c>
    </row>
    <row r="90" spans="1:8">
      <c r="A90" s="24">
        <v>44764</v>
      </c>
      <c r="B90" s="14"/>
      <c r="C90" s="14"/>
      <c r="D90" s="14"/>
      <c r="E90" s="14"/>
      <c r="F90" s="14">
        <v>150</v>
      </c>
      <c r="G90" s="14"/>
      <c r="H90" s="14">
        <v>150</v>
      </c>
    </row>
    <row r="91" spans="1:8">
      <c r="A91" s="16" t="s">
        <v>43</v>
      </c>
      <c r="B91" s="14">
        <v>1905</v>
      </c>
      <c r="C91" s="14">
        <v>2115</v>
      </c>
      <c r="D91" s="14">
        <v>1545</v>
      </c>
      <c r="E91" s="14">
        <v>1610</v>
      </c>
      <c r="F91" s="14">
        <v>2620</v>
      </c>
      <c r="G91" s="14">
        <v>2855</v>
      </c>
      <c r="H91" s="14">
        <v>12650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59CAC-9C24-4750-BD5E-0423D5E0DB84}">
  <dimension ref="A3:H8"/>
  <sheetViews>
    <sheetView workbookViewId="0">
      <selection activeCell="L24" sqref="L24"/>
    </sheetView>
  </sheetViews>
  <sheetFormatPr defaultRowHeight="15.5"/>
  <cols>
    <col min="1" max="1" width="19.08203125" bestFit="1" customWidth="1"/>
    <col min="2" max="2" width="15.25" bestFit="1" customWidth="1"/>
    <col min="3" max="3" width="10.08203125" bestFit="1" customWidth="1"/>
    <col min="4" max="4" width="10.83203125" bestFit="1" customWidth="1"/>
    <col min="5" max="7" width="10.08203125" bestFit="1" customWidth="1"/>
    <col min="8" max="8" width="11.08203125" bestFit="1" customWidth="1"/>
  </cols>
  <sheetData>
    <row r="3" spans="1:8">
      <c r="A3" s="15" t="s">
        <v>40</v>
      </c>
      <c r="B3" s="15" t="s">
        <v>54</v>
      </c>
    </row>
    <row r="4" spans="1:8">
      <c r="A4" s="15" t="s">
        <v>42</v>
      </c>
      <c r="B4" t="s">
        <v>13</v>
      </c>
      <c r="C4" t="s">
        <v>14</v>
      </c>
      <c r="D4" t="s">
        <v>17</v>
      </c>
      <c r="E4" t="s">
        <v>18</v>
      </c>
      <c r="F4" t="s">
        <v>15</v>
      </c>
      <c r="G4" t="s">
        <v>16</v>
      </c>
      <c r="H4" t="s">
        <v>43</v>
      </c>
    </row>
    <row r="5" spans="1:8">
      <c r="A5" s="16" t="s">
        <v>20</v>
      </c>
      <c r="B5" s="14">
        <v>610</v>
      </c>
      <c r="C5" s="14">
        <v>400</v>
      </c>
      <c r="D5" s="14">
        <v>480</v>
      </c>
      <c r="E5" s="14">
        <v>850</v>
      </c>
      <c r="F5" s="14">
        <v>860</v>
      </c>
      <c r="G5" s="14">
        <v>810</v>
      </c>
      <c r="H5" s="14">
        <v>4010</v>
      </c>
    </row>
    <row r="6" spans="1:8">
      <c r="A6" s="16" t="s">
        <v>19</v>
      </c>
      <c r="B6" s="14">
        <v>865</v>
      </c>
      <c r="C6" s="14">
        <v>715</v>
      </c>
      <c r="D6" s="14">
        <v>325</v>
      </c>
      <c r="E6" s="14">
        <v>300</v>
      </c>
      <c r="F6" s="14">
        <v>1210</v>
      </c>
      <c r="G6" s="14">
        <v>1175</v>
      </c>
      <c r="H6" s="14">
        <v>4590</v>
      </c>
    </row>
    <row r="7" spans="1:8">
      <c r="A7" s="16" t="s">
        <v>21</v>
      </c>
      <c r="B7" s="14">
        <v>430</v>
      </c>
      <c r="C7" s="14">
        <v>1000</v>
      </c>
      <c r="D7" s="14">
        <v>740</v>
      </c>
      <c r="E7" s="14">
        <v>460</v>
      </c>
      <c r="F7" s="14">
        <v>550</v>
      </c>
      <c r="G7" s="14">
        <v>870</v>
      </c>
      <c r="H7" s="14">
        <v>4050</v>
      </c>
    </row>
    <row r="8" spans="1:8">
      <c r="A8" s="16" t="s">
        <v>43</v>
      </c>
      <c r="B8" s="14">
        <v>1905</v>
      </c>
      <c r="C8" s="14">
        <v>2115</v>
      </c>
      <c r="D8" s="14">
        <v>1545</v>
      </c>
      <c r="E8" s="14">
        <v>1610</v>
      </c>
      <c r="F8" s="14">
        <v>2620</v>
      </c>
      <c r="G8" s="14">
        <v>2855</v>
      </c>
      <c r="H8" s="14">
        <v>12650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7F999-5045-4DE2-AD03-C39A563FB07A}">
  <dimension ref="A3:B16"/>
  <sheetViews>
    <sheetView tabSelected="1" zoomScale="65" workbookViewId="0">
      <selection activeCell="C30" sqref="C30"/>
    </sheetView>
  </sheetViews>
  <sheetFormatPr defaultRowHeight="15.5"/>
  <cols>
    <col min="1" max="1" width="12.33203125" bestFit="1" customWidth="1"/>
    <col min="2" max="2" width="19.08203125" bestFit="1" customWidth="1"/>
  </cols>
  <sheetData>
    <row r="3" spans="1:2">
      <c r="A3" s="15" t="s">
        <v>42</v>
      </c>
      <c r="B3" t="s">
        <v>40</v>
      </c>
    </row>
    <row r="4" spans="1:2">
      <c r="A4" s="16" t="s">
        <v>20</v>
      </c>
      <c r="B4" s="14">
        <v>4010</v>
      </c>
    </row>
    <row r="5" spans="1:2">
      <c r="A5" s="17" t="s">
        <v>24</v>
      </c>
      <c r="B5" s="14">
        <v>610</v>
      </c>
    </row>
    <row r="6" spans="1:2">
      <c r="A6" s="17" t="s">
        <v>22</v>
      </c>
      <c r="B6" s="14">
        <v>1500</v>
      </c>
    </row>
    <row r="7" spans="1:2">
      <c r="A7" s="17" t="s">
        <v>23</v>
      </c>
      <c r="B7" s="14">
        <v>1900</v>
      </c>
    </row>
    <row r="8" spans="1:2">
      <c r="A8" s="16" t="s">
        <v>19</v>
      </c>
      <c r="B8" s="14">
        <v>4590</v>
      </c>
    </row>
    <row r="9" spans="1:2">
      <c r="A9" s="17" t="s">
        <v>24</v>
      </c>
      <c r="B9" s="14">
        <v>805</v>
      </c>
    </row>
    <row r="10" spans="1:2">
      <c r="A10" s="17" t="s">
        <v>22</v>
      </c>
      <c r="B10" s="14">
        <v>2615</v>
      </c>
    </row>
    <row r="11" spans="1:2">
      <c r="A11" s="17" t="s">
        <v>23</v>
      </c>
      <c r="B11" s="14">
        <v>1170</v>
      </c>
    </row>
    <row r="12" spans="1:2">
      <c r="A12" s="16" t="s">
        <v>21</v>
      </c>
      <c r="B12" s="14">
        <v>4050</v>
      </c>
    </row>
    <row r="13" spans="1:2">
      <c r="A13" s="17" t="s">
        <v>24</v>
      </c>
      <c r="B13" s="14">
        <v>675</v>
      </c>
    </row>
    <row r="14" spans="1:2">
      <c r="A14" s="17" t="s">
        <v>22</v>
      </c>
      <c r="B14" s="14">
        <v>3015</v>
      </c>
    </row>
    <row r="15" spans="1:2">
      <c r="A15" s="17" t="s">
        <v>23</v>
      </c>
      <c r="B15" s="14">
        <v>360</v>
      </c>
    </row>
    <row r="16" spans="1:2">
      <c r="A16" s="16" t="s">
        <v>43</v>
      </c>
      <c r="B16" s="14">
        <v>12650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Project_Objective</vt:lpstr>
      <vt:lpstr>Data_Source_Info</vt:lpstr>
      <vt:lpstr>Raw_Sales_Data</vt:lpstr>
      <vt:lpstr>Sales_Summary</vt:lpstr>
      <vt:lpstr>Sales_Statistics</vt:lpstr>
      <vt:lpstr>Item_Quantity_Analysis</vt:lpstr>
      <vt:lpstr>Salesperson_Performance</vt:lpstr>
      <vt:lpstr>Sales_vs_Items</vt:lpstr>
      <vt:lpstr>Employee_Ranking</vt:lpstr>
      <vt:lpstr>Monthly_Sales_Pivot</vt:lpstr>
      <vt:lpstr>Category_Sales_Pivot</vt:lpstr>
      <vt:lpstr>Total_Sales_Overview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Prince Maheta</cp:lastModifiedBy>
  <dcterms:created xsi:type="dcterms:W3CDTF">2022-08-13T08:56:39Z</dcterms:created>
  <dcterms:modified xsi:type="dcterms:W3CDTF">2026-05-04T13:01:46Z</dcterms:modified>
</cp:coreProperties>
</file>